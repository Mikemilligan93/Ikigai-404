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mpts" sheetId="1" state="visible" r:id="rId3"/>
    <sheet name="How to use" sheetId="2" state="visible" r:id="rId4"/>
    <sheet name="Summary" sheetId="3" state="visible" r:id="rId5"/>
    <sheet name="Palette" sheetId="4" state="visible" r:id="rId6"/>
  </sheets>
  <definedNames>
    <definedName function="false" hidden="true" localSheetId="0" name="_xlnm._FilterDatabase" vbProcedure="false">Prompts!$A$1:$L$32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<sst xmlns="http://schemas.openxmlformats.org/spreadsheetml/2006/main" count="353" uniqueCount="221">
  <si>
    <t xml:space="preserve">#</t>
  </si>
  <si>
    <t xml:space="preserve">File</t>
  </si>
  <si>
    <t xml:space="preserve">Section</t>
  </si>
  <si>
    <t xml:space="preserve">Grid (cols × rows)</t>
  </si>
  <si>
    <t xml:space="preserve">Frame size</t>
  </si>
  <si>
    <t xml:space="preserve">Priority</t>
  </si>
  <si>
    <t xml:space="preserve">Contents</t>
  </si>
  <si>
    <t xml:space="preserve">Attach / tip</t>
  </si>
  <si>
    <t xml:space="preserve">Prompt</t>
  </si>
  <si>
    <t xml:space="preserve">Assignee</t>
  </si>
  <si>
    <t xml:space="preserve">Status</t>
  </si>
  <si>
    <t xml:space="preserve">Notes</t>
  </si>
  <si>
    <t xml:space="preserve">player_tray.png</t>
  </si>
  <si>
    <t xml:space="preserve">Player</t>
  </si>
  <si>
    <t xml:space="preserve">3 × 3</t>
  </si>
  <si>
    <t xml:space="preserve">32×32</t>
  </si>
  <si>
    <t xml:space="preserve">Must</t>
  </si>
  <si>
    <t xml:space="preserve">Bunny walking while carrying a lunch tray (no briefcase), 3 directions</t>
  </si>
  <si>
    <t xml:space="preserve">Attach player_ok.png and add: "Keep the character identical to the attached sprite sheet."</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</si>
  <si>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main character: a burnt-out white rabbit office worker with long upright ears (soft pink inside), tired half-closed eyes with red rims, a navy-blue suit, white shirt, vermilion tie and brown shoes. His briefcase is tucked under one arm and he carries a brown lacquered canteen lunch tray with both hands in front of his chest: a bowl of rice, a small soup bowl, a little side dish and chopsticks on the tray. He walks carefully, slightly worried about spilling. The tray stays level and the same size in every cell.
Layout: a sprite sheet on a solid flat magenta background (#FF00FF, one single pure colour, no shading, no checkerboard). An evenly spaced grid of 3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facing DOWN (towards the viewer): left foot forward | standing still | right foot forward
- Row 2: facing LEFT (side profile): left foot forward | standing still | right foot forward
- Row 3: facing UP (back to the viewer): left foot forward | standing still | right foot forward
Output: PNG, Square image, 1024×1024.</t>
  </si>
  <si>
    <t xml:space="preserve">Processed</t>
  </si>
  <si>
    <t xml:space="preserve">player_eat.png</t>
  </si>
  <si>
    <t xml:space="preserve">4 × 2</t>
  </si>
  <si>
    <t xml:space="preserve">Bunny sitting on a stool and eating, facing down and up</t>
  </si>
  <si>
    <t xml:space="preserve">Attach player_ok.png and add: "Keep the character identical to the attached sprite sheet." Only the bunny and the stool, no table.</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</si>
  <si>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main character: a burnt-out white rabbit office worker with long upright ears (soft pink inside), tired half-closed eyes with red rims, a navy-blue suit, white shirt, vermilion tie and brown shoes, jacket open and tie loosened, SITTING on a small round wooden canteen stool (the stool is part of the picture and identical in every cell). He holds chopsticks and a rice bowl. Draw ONLY the bunny and the stool: NO table, NO tray.
Layout: a sprite sheet on a solid flat magenta background (#FF00FF, one single pure colour, no shading, no checkerboard). An evenly spaced grid of 4 columns and 2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facing DOWN (towards the viewer): lifting rice with chopsticks | chewing happily, eyes closed | sipping from a soup bowl | relaxed, content smile, ears up
- Row 2: seen from BEHIND (facing UP): lifting rice with chopsticks | chewing | sipping from a soup bowl | startled, ears shooting straight up, sweat drop
Output: PNG, Wide landscape image, 1536×1024.</t>
  </si>
  <si>
    <t xml:space="preserve">boss_rokurokubi.png</t>
  </si>
  <si>
    <t xml:space="preserve">Boss — Rokurokubi</t>
  </si>
  <si>
    <t xml:space="preserve">64×64</t>
  </si>
  <si>
    <t xml:space="preserve">Rokurokubi body (department head) normal + enraged</t>
  </si>
  <si>
    <t xml:space="preserve">The neck is drawn by code from rokurokubi_neck.png: keep the neck SHORT here.</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</si>
  <si>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boss: Rokurokubi, a long-necked Japanese yōkai disguised as a strict 1990s department head. A pale, thin figure in a grey three-piece suit with a deep-red tie and a clipboard, slicked-back black hair, narrow suspicious eyes, a polite but unsettling smile. In this sheet the neck is SHORT and normal (the long neck is added separately), with a slightly too-long collar. Facing the viewer.
Layout: a sprite sheet on a solid flat magenta background (#FF00FF, one single pure colour, no shading, no checkerboard). An evenly spaced grid of 4 columns and 2 rows of equal-sized cells with wide plain magenta gaps between the cells. Every cell shows the exact same character (same design, same colours, same size), centred in its cell, feet on the same baseline. Draw each cell at about 64×64 pixel-art resolution, so each pixel is a big visible square block. No grid lines, borders, labels or numbers. Never use magenta or purple on the subjects themselves.
Cells, left to right, top to bottom:
- Row 1: normal: idle A | idle B (tapping the clipboard) | pointing forward, demanding (spawning calendar invites) | hurt (recoiling, eyes squeezed shut)
- Row 2: enraged (tie loosened, eyes glowing gold, hair sticking out): idle A | idle B | shouting with mouth wide open | defeated, slumped on the floor, clipboard dropped
Output: PNG, Wide landscape image, 1536×1024.</t>
  </si>
  <si>
    <t xml:space="preserve">rokurokubi_head.png</t>
  </si>
  <si>
    <t xml:space="preserve">Rokurokubi's detached head on the stretching neck: normal + enraged</t>
  </si>
  <si>
    <t xml:space="preserve">Make in the same chat as boss_rokurokubi.png. The head must match the body exactly.</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</si>
  <si>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ONLY the head of the Rokurokubi boss from the previous image (pale face, slicked-back black hair, narrow suspicious eyes), with just the top stub of his neck under the chin, as if the neck continues below the cell. No body, no clipboard.
Layout: a sprite sheet on a solid flat magenta background (#FF00FF, one single pure colour, no shading, no checkerboard). An evenly spaced grid of 4 columns and 2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normal: looking down, suspicious | peeking sideways with one raised eyebrow | talking (mouth open, polite smile) | hurt (eyes squeezed shut)
- Row 2: enraged (eyes glowing gold, hair sticking out): glaring | biting, mouth wide open | talking angrily | dizzy, swirly eyes
Output: PNG, Wide landscape image, 1536×1024.</t>
  </si>
  <si>
    <t xml:space="preserve">rokurokubi_neck.png</t>
  </si>
  <si>
    <t xml:space="preserve">4 × 1</t>
  </si>
  <si>
    <t xml:space="preserve">16×16</t>
  </si>
  <si>
    <t xml:space="preserve">Neck segments the code chains into a stretching neck</t>
  </si>
  <si>
    <t xml:space="preserve">Same chat as the head. Segments must join seamlessly end to end.</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</si>
  <si>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Pieces of the long, pale, thin neck of the Rokurokubi boss, the same skin colour as his face, with a faint ink outline on both sides. The pieces will be chained together, so the neck has exactly the same width in every cell and the ends line up.
Layout: a sprite sheet on a solid flat magenta background (#FF00FF, one single pure colour, no shading, no checkerboard). An evenly spaced grid of 4 columns and 1 row of equal-sized cells with wide plain magenta gaps between the cells. Each cell shows one small item, centred, drawn at about 16×16 pixel-art resolution so each pixel is a big visible square block. No grid lines, borders, labels or numbers. Never use magenta or purple on the subjects themselves.
Cells, left to right, top to bottom:
- Row 1: straight vertical neck piece (top and bottom edges open) | straight horizontal neck piece (left and right edges open) | a 90° bend from bottom to right | the collar base: white shirt collar with a deep-red tie knot, the neck going up out of it
Output: PNG, Wide landscape image, 1536×1024.</t>
  </si>
  <si>
    <t xml:space="preserve">rokurokubi_portrait.png</t>
  </si>
  <si>
    <t xml:space="preserve">2 × 1</t>
  </si>
  <si>
    <t xml:space="preserve">Nice</t>
  </si>
  <si>
    <t xml:space="preserve">Chest-up portrait for his entry dialogue</t>
  </si>
  <si>
    <t xml:space="preserve">Same chat as the boss sheets.</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</si>
  <si>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chest-up character portrait, three-quarter view, like a dialogue portrait in a Japanese RPG.
Subject: Portrait of the Rokurokubi boss: a pale department head in a grey three-piece suit with a deep-red tie, slicked-back black hair, narrow suspicious eyes, a polite but unsettling smile; his neck is a little too long and bends to one side. He faces to the left. Head, shoulders and chest only.
Layout: a sprite sheet on a solid flat magenta background (#FF00FF, one single pure colour, no shading, no checkerboard). An evenly spaced grid of 2 columns and 1 row of equal-sized cells with wide plain magenta gaps between the cells. Every cell shows the exact same character (same design, same colours, same size), centred in its cell, feet on the same baseline. Draw each cell at about 64×64 pixel-art resolution, so each pixel is a big visible square block. No grid lines, borders, labels or numbers. Never use magenta or purple on the subjects themselves.
Cells, left to right, top to bottom:
- Row 1: mouth closed | mouth open (talking), otherwise identical
Output: PNG, Wide landscape image, 1536×1024.</t>
  </si>
  <si>
    <t xml:space="preserve">miniboss_ramen.png</t>
  </si>
  <si>
    <t xml:space="preserve">Miniboss — Ramen Bowl</t>
  </si>
  <si>
    <t xml:space="preserve">4 × 3</t>
  </si>
  <si>
    <t xml:space="preserve">48×48</t>
  </si>
  <si>
    <t xml:space="preserve">Walking ramen bowl: idle, shrimp shot, hurt, walk, noodle whip, defeated</t>
  </si>
  <si>
    <t xml:space="preserve">Row 3 last cell becomes the healing pickup after the fight.</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</si>
  <si>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miniboss: a huge, angry, walking bowl of ramen, possessed like a Japanese yōkai. A deep-red ceramic bowl with a cream seigaiha wave pattern on the side, short stubby legs, furious eyes and a wide grin on the front of the bowl. Inside: golden broth, wavy noodles, two tempura shrimp sticking out like horns, a slice of narutomaki, half a soft-boiled egg, a sheet of nori and spring onions. Steam rises from the top.
Layout: a sprite sheet on a solid flat magenta background (#FF00FF, one single pure colour, no shading, no checkerboard). An evenly spaced grid of 4 columns and 3 rows of equal-sized cells with wide plain magenta gaps between the cells. Every cell shows the exact same character (same design, same colours, same size), centred in its cell, feet on the same baseline. Draw each cell at about 48×48 pixel-art resolution, so each pixel is a big visible square block. No grid lines, borders, labels or numbers. Never use magenta or purple on the subjects themselves.
Cells, left to right, top to bottom:
- Row 1: idle A | idle B (broth sloshing, slightly bigger) | shooting: leaning forward, a tempura shrimp flying out of the bowl | hurt (flashing, tilted, broth splashing)
- Row 2: walking to the LEFT (side profile), four frames of one walk cycle
- Row 3: enraged: lashing a long noodle like a whip, wound up | the noodle whip swung wide | enraged idle (broth boiling, red steam) | defeated: an ordinary, calm, delicious bowl of ramen on the floor, no face, gentle steam
Output: PNG, Wide landscape image, 1536×1024.</t>
  </si>
  <si>
    <t xml:space="preserve">minion_naruto_weak.png</t>
  </si>
  <si>
    <t xml:space="preserve">24×24</t>
  </si>
  <si>
    <t xml:space="preserve">Weak minion: rolling narutomaki fishcake disc</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</si>
  <si>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weak enemy minion: a small angry narutomaki fishcake slice (white disc with a pink spiral and wavy edge) rolling on its edge like a wheel, with a frowning face.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24×24 pixel-art resolution, so each pixel is a big visible square block. No grid lines, borders, labels or numbers. Never use magenta or purple on the subjects themselves.
Cells, left to right, top to bottom:
- Row 1: rolling: spiral at 0° | spiral turned a quarter | spiral turned half | hit (squashed, little stars)
Output: PNG, Wide landscape image, 1536×1024.</t>
  </si>
  <si>
    <t xml:space="preserve">minion_egg_strong.png</t>
  </si>
  <si>
    <t xml:space="preserve">Strong minion: bouncing soft-boiled ramen egg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</si>
  <si>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strong enemy minion: a big furious half soft-boiled ramen egg (brown marinated white, glossy runny orange-gold yolk) with bared teeth, bouncing.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bouncing: squashed on landing | stretched, leaving the ground | high in the air | hit (squashed flat, yolk dripping, little stars)
Output: PNG, Wide landscape image, 1536×1024.</t>
  </si>
  <si>
    <t xml:space="preserve">minion_question_weak.png</t>
  </si>
  <si>
    <t xml:space="preserve">Minions (work)</t>
  </si>
  <si>
    <t xml:space="preserve">Weak minion: 'Quick question?' spirit</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</si>
  <si>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weak enemy minion: a small, pale, eager hitodama spirit (a floating ghost-flame wisp) with big pleading eyes, holding a tiny notepad and raising one little hand to ask something. It is annoying, not scary.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24×24 pixel-art resolution, so each pixel is a big visible square block. No grid lines, borders, labels or numbers. Never use magenta or purple on the subjects themselves.
Cells, left to right, top to bottom:
- Row 1: floating: up, hand raised | middle | down, hand waving | hit (squashed, little stars)
Output: PNG, Wide landscape image, 1536×1024.</t>
  </si>
  <si>
    <t xml:space="preserve">Purple drop shadows under frames 1-3 may survive keying; frame 3 hand not waving down.</t>
  </si>
  <si>
    <t xml:space="preserve">minion_pager_weak.png</t>
  </si>
  <si>
    <t xml:space="preserve">Weak ranged minion: angry 90s pager</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</si>
  <si>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weak enemy minion: a small angry black 1990s pager (beeper) with a glowing green screen showing two angry eyes (no letters or numbers), tiny legs, vibrating.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24×24 pixel-art resolution, so each pixel is a big visible square block. No grid lines, borders, labels or numbers. Never use magenta or purple on the subjects themselves.
Cells, left to right, top to bottom:
- Row 1: idle | vibrating, shaking left | beeping: small sound-wave arcs coming out of the top | hit (squashed, little stars)
Output: PNG, Wide landscape image, 1536×1024.</t>
  </si>
  <si>
    <t xml:space="preserve">minion_invite_strong.png</t>
  </si>
  <si>
    <t xml:space="preserve">Strong minion: calendar invite (Rokurokubi spawn)</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</si>
  <si>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strong enemy minion: a big furious tear-off desk calendar page with legs and arms, one date circled in red (a circle only, no numbers or letters), a small clock icon on its chest, blocking the way with arms spread.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walking: step A | step B | arms spread wide, blocking | hit (crumpled, little stars)
Output: PNG, Wide landscape image, 1536×1024.</t>
  </si>
  <si>
    <t xml:space="preserve">npc_obachan.png</t>
  </si>
  <si>
    <t xml:space="preserve">NPCs</t>
  </si>
  <si>
    <t xml:space="preserve">Canteen lady behind the counter</t>
  </si>
  <si>
    <t xml:space="preserve">Only the character; the counter is a separate prop.</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</si>
  <si>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canteen obachan: a warm, plump old tanuki (Japanese raccoon dog) canteen lady in a white kappōgi apron coat, a white headscarf and rubber gloves, holding a big ladle. Kind, motherly, a little bossy. Facing the viewer.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idle A | idle B (stirring with the ladle) | holding out a lunch tray with both hands | talking (mouth open, smiling)
Output: PNG, Wide landscape image, 1536×1024.</t>
  </si>
  <si>
    <t xml:space="preserve">npc_intern.png</t>
  </si>
  <si>
    <t xml:space="preserve">Lonely intern eating alone</t>
  </si>
  <si>
    <t xml:space="preserve">Sitting on the same stool as player_eat.png (attach it).</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</si>
  <si>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shy young hamster intern in an oversized new suit and a visitor lanyard, SITTING alone on a small round wooden canteen stool (the stool is part of the picture, identical in every cell), holding a small bento box. Draw ONLY the hamster and the stool, no table. Facing the viewer.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eating alone, looking down, a little sad | idle B, poking the food with chopsticks | looking up and brightening, waving one paw | talking (mouth open, happy)
Output: PNG, Wide landscape image, 1536×1024.</t>
  </si>
  <si>
    <t xml:space="preserve">Came out 2172x724 (3:1) instead of 1536x1024.</t>
  </si>
  <si>
    <t xml:space="preserve">npc_eaters_down.png</t>
  </si>
  <si>
    <t xml:space="preserve">NPCs (background)</t>
  </si>
  <si>
    <t xml:space="preserve">4 × 4</t>
  </si>
  <si>
    <t xml:space="preserve">Four background colleagues eating, facing down</t>
  </si>
  <si>
    <t xml:space="preserve">Attach npc_worker_mouse/beaver/frog/cat.png so the four colleagues match. Same stool as player_eat.png.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</si>
  <si>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Four office workers having lunch, each SITTING on a small round wooden canteen stool (the stool is part of the picture and identical in every cell). Draw ONLY the person and the stool: NO table. Each row is a different character, all facing DOWN (towards the viewer).
Layout: a sprite sheet on a solid flat magenta background (#FF00FF, one single pure colour, no shading, no checkerboard). An evenly spaced grid of 4 columns and 4 rows of equal-sized cells with wide plain magenta gaps between the cells. Every cell in a row shows the same character (same design, colours and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a small grey mouse in a white shirt and a thin black tie: eating rice A | eating rice B | sipping green tea | chatting, mouth open
- Row 2: a stocky beaver in a mustard cardigan and glasses: eating noodles A | eating noodles B | sipping green tea | chatting, mouth open
- Row 3: a green frog in a short-sleeved shirt with a pocket of pens: eating curry A | eating curry B | sipping green tea | reading a folded newspaper (scribbles, no text)
- Row 4: a calico cat in a cream blouse with a hair bun: eating onigiri A | eating onigiri B | sipping green tea | chatting, mouth open
Output: PNG, Square image, 1024×1024.</t>
  </si>
  <si>
    <t xml:space="preserve">Uses its own palette (palette:false) - the shared palette turned the frog grey.</t>
  </si>
  <si>
    <t xml:space="preserve">npc_eaters_up.png</t>
  </si>
  <si>
    <t xml:space="preserve">Four background colleagues eating, seen from behind</t>
  </si>
  <si>
    <t xml:space="preserve">Make in the same chat as npc_eaters_down.png.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</si>
  <si>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SAME four office workers as the previous image, now seen from BEHIND (facing UP, eating at a table above them), each SITTING on the same small round wooden canteen stool. Draw ONLY the person and the stool: NO table. Each row is a different character.
Layout: a sprite sheet on a solid flat magenta background (#FF00FF, one single pure colour, no shading, no checkerboard). An evenly spaced grid of 4 columns and 4 rows of equal-sized cells with wide plain magenta gaps between the cells. Every cell in a row shows the same character (same design, colours and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grey mouse in a white shirt: eating A | eating B | sipping tea | turning head to chat
- Row 2: beaver in a mustard cardigan: eating A | eating B | sipping tea | turning head to chat
- Row 3: green frog in a short-sleeved shirt: eating A | eating B | sipping tea | stretching both arms up
- Row 4: calico cat with a hair bun: eating A | eating B | sipping tea | turning head to chat
Output: PNG, Square image, 1024×1024.</t>
  </si>
  <si>
    <t xml:space="preserve">npc_walker_tray.png</t>
  </si>
  <si>
    <t xml:space="preserve">Colleague walking around with a lunch tray (queue / looking for a seat)</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</si>
  <si>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tall heron office worker in a grey suit and round glasses, carrying a brown lunch tray with a bowl of curry rice, looking around for a free seat.
Layout: a sprite sheet on a solid flat magenta background (#FF00FF, one single pure colour, no shading, no checkerboard). An evenly spaced grid of 3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facing DOWN (towards the viewer): left foot forward | standing still | right foot forward
- Row 2: facing LEFT (side profile): left foot forward | standing still | right foot forward
- Row 3: facing UP (back to the viewer): left foot forward | standing still | right foot forward
Output: PNG, Square image, 1024×1024.</t>
  </si>
  <si>
    <t xml:space="preserve">Down/up walk frames barely differ (legs) - walk cycle will look stiff.</t>
  </si>
  <si>
    <t xml:space="preserve">tiles_canteen_floor.png</t>
  </si>
  <si>
    <t xml:space="preserve">Tiles</t>
  </si>
  <si>
    <t xml:space="preserve">Canteen, kitchen, tatami and rooftop floors</t>
  </si>
  <si>
    <t xml:space="preserve">Attach tiles_floor.png so the detail level matches.</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</si>
  <si>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seen from directly above, completely flat.
Subject: Floor tiles for the company canteen of a 1990s Japanese office building, and its rooftop. Detailed for pixel art: a subtle 2–3 tone texture in every tile, but calm and low contrast so characters stand out.
Layout: a sprite sheet on a solid flat magenta background (#FF00FF, one single pure colour, no shading, no checkerboard). An evenly spaced grid of 4 columns and 4 rows of equal-sized cells with wide plain magenta gaps between the cells. Each cell is one square FLOOR TILE drawn at 16×16 pixel-art resolution (each pixel a big visible block), filling its whole cell, seen from directly above, and tiling seamlessly with itself (left edge continues into right, top into bottom). Tiles in the same row belong together and must also fit next to each other. Low contrast so characters stand out. No grid lines, borders, labels or numbers. Never use magenta or purple on the subjects themselves.
Cells, left to right, top to bottom:
- Row 1: canteen floor, cream linoleum with celadon speckles: plain | worn walking path running left to right | a few grains of rice | a small spilled-tea spot
- Row 2: serving and kitchen area, deep-red quarry tiles with cream grout: plain | worn | with a floor drain | wet and shiny
- Row 3: raised manager section: plain tatami | tatami with dark border | tatami turned 90° | tatami with a flat zabuton cushion mark
- Row 4: rooftop: grey concrete slab | concrete with a crack and a weed | weathered wooden deck boards | short green grass in a planter bed
Output: PNG, Square image, 1024×1024.</t>
  </si>
  <si>
    <t xml:space="preserve">tiles_canteen_wall.png</t>
  </si>
  <si>
    <t xml:space="preserve">Canteen wall faces, serving hatch, rooftop railing</t>
  </si>
  <si>
    <t xml:space="preserve">Attach tiles_wall.png so the wall height and skirting match.</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</si>
  <si>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Wall tiles for the canteen of a 1990s Japanese office building. The canteen wall is paper cream with a lower band of small celadon-green ceramic tiles (wainscot) and a dark wooden skirting board; every wall-face tile uses exactly the same wall, band and height, so they line up.
Layout: a sprite sheet on a solid flat magenta background (#FF00FF, one single pure colour, no shading, no checkerboard). An evenly spaced grid of 4 columns and 4 rows of equal-sized cells with wide plain magenta gaps between the cells. Each cell is one square WALL or PARTITION tile drawn at 16×16 pixel-art resolution (each pixel a big visible block), filling its whole cell, in the three-quarter top-down view. Neighbouring wall tiles must line up edge to edge. No grid lines, borders, labels or numbers. Never use magenta or purple on the subjects themselves.
Cells, left to right, top to bottom:
- Row 1: wall faces: plain canteen wall | wall with a big sunny window | wall with a row of hanging wooden menu plaques (pictures of dishes, no writing) | wall with a framed photo of a steaming bowl
- Row 2: wall faces: doorway with an indigo noren curtain (kitchen) | serving hatch: an open counter window into a steamy kitchen | closed steel kitchen door | stairwell door with a green running-figure pictogram (no letters)
- Row 3: rooftop: metal safety railing, horizontal | railing, vertical | railing corner | concrete parapet wall top
- Row 4: wall tops: wall top cap (seen from above) | top inner corner | top outer corner | square pillar with green tiles
Output: PNG, Square image, 1024×1024.</t>
  </si>
  <si>
    <t xml:space="preserve">Needs redo</t>
  </si>
  <si>
    <t xml:space="preserve">Rows 3-4 (railings, wall tops) drawn as 3D props, not cell-filling tiles - may need redo.</t>
  </si>
  <si>
    <t xml:space="preserve">wall_decor_canteen.png</t>
  </si>
  <si>
    <t xml:space="preserve">Things hanging on the canteen wall (TV, clock, Health Week posters)</t>
  </si>
  <si>
    <t xml:space="preserve">Same chat as tiles_canteen_wall.png.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</si>
  <si>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Wall-face tiles with things mounted on the wall. Every cell is the SAME canteen wall face as the previous image (cream wall, celadon tile band, skirting board, same height), with one object hanging on it, so they slot into a wall row.
Layout: a sprite sheet on a solid flat magenta background (#FF00FF, one single pure colour, no shading, no checkerboard). An evenly spaced grid of 4 columns and 2 rows of equal-sized cells with wide plain magenta gaps between the cells. Each cell is one square WALL or PARTITION tile drawn at 16×16 pixel-art resolution (each pixel a big visible block), filling its whole cell, in the three-quarter top-down view. Neighbouring wall tiles must line up edge to edge. No grid lines, borders, labels or numbers. Never use magenta or purple on the subjects themselves.
Cells, left to right, top to bottom:
- Row 1: round wall clock | small wall-mounted CRT TV showing a baseball field | paper lantern hanging from a bracket | wall fan
- Row 2: faded poster of a smiling carrot doing yoga (pictures only) | poster of a salad bowl with a heart (pictures only) | small kamidana shelf with a tiny rice offering | green-cross first-aid box
Output: PNG, Wide landscape image, 1536×1024.</t>
  </si>
  <si>
    <t xml:space="preserve">props_canteen_counter.png</t>
  </si>
  <si>
    <t xml:space="preserve">Props</t>
  </si>
  <si>
    <t xml:space="preserve">3 × 2</t>
  </si>
  <si>
    <t xml:space="preserve">Serving counter pieces, food-sample display, tray rack</t>
  </si>
  <si>
    <t xml:space="preserve">The three counter pieces are chained left | middle | right in code: same height and depth.</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</si>
  <si>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serving counter of a 1990s Japanese company canteen: stainless steel with a wooden top rail, steaming food behind a low glass sneeze guard. The three counter pieces have exactly the same height and depth so they join into one long counter.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counter, left end, with a stack of brown lunch trays and a chopstick box | counter, middle piece, with big steaming pots of miso soup and curry | counter, right end, with a large rice cooker and a cash bowl
- Row 2: glass display case of plastic food samples (sampuru): curry, ramen, onigiri set, miso set | wheeled rack of clean brown trays | tall green-tea and barley-tea dispenser with paper cups
Output: PNG, Wide landscape image, 1536×1024.</t>
  </si>
  <si>
    <t xml:space="preserve">Row 1 drawn as one joined counter (no gaps) - check slicing; steam is pinkish.</t>
  </si>
  <si>
    <t xml:space="preserve">props_canteen_tables.png</t>
  </si>
  <si>
    <t xml:space="preserve">Long tables, window counter, tatami low table</t>
  </si>
  <si>
    <t xml:space="preserve">Tables WITHOUT people and WITHOUT stools (stools come with the characters). Long table pieces must join end to end.</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</si>
  <si>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Canteen tables, WITHOUT chairs, stools or people (those are added separately). Light wooden table tops with steel legs. The long-table pieces have exactly the same height and width so they join into long rows.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long canteen table, left end | long canteen table, middle piece with a soy-sauce bottle and a napkin box | long canteen table, right end
- Row 2: narrow window counter piece (bar table along a window) | low lacquered chabudai table on a tatami platform with two zabuton cushions | small square two-person table with a tiny vase
Output: PNG, Wide landscape image, 1536×1024.</t>
  </si>
  <si>
    <t xml:space="preserve">props_canteen_misc.png</t>
  </si>
  <si>
    <t xml:space="preserve">Ticket machine, tray return, vending, bins, plants</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</si>
  <si>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Furniture and machines in a 1990s Japanese company canteen.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shokken-ki meal-ticket vending machine: cream metal box with rows of square picture buttons of dishes (pictures only, no text) and a coin slot | the same ticket machine with the buttons glowing gold (ready to use) | drinks vending machine full of cans
- Row 2: tray-return station: a shelf with stacked dirty trays and a bucket of used chopsticks | Japanese recycling bins in red, blue and green (no text) | tall potted kentia palm
Output: PNG, Wide landscape image, 1536×1024.</t>
  </si>
  <si>
    <t xml:space="preserve">props_canteen_anim.png</t>
  </si>
  <si>
    <t xml:space="preserve">Animated: steaming rice cooker (hazard), tray conveyor (hazard), napping salaryman</t>
  </si>
  <si>
    <t xml:space="preserve">Rows 1–2 are the hazards. The object stays exactly the same size and place in every frame of a row.</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</si>
  <si>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Three animated canteen props, 4 animation frames each. The object stays EXACTLY the same size and place in every frame of a row; only the moving part changes.
Layout: a sprite sheet on a solid flat magenta background (#FF00FF, one single pure colour, no shading, no checkerboard). An evenly spaced grid of 4 columns and 3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huge industrial rice cooker: frame 1 lid closed, calm | frame 2 lid rattling, wisps of steam | frame 3 a big white steam blast shooting up | frame 4 steam fading
- Row 2: tray-return conveyor belt (seen from above-front, belt running left to right) with dirty trays on it: frame 1 | frame 2 | frame 3 | frame 4 (the trays move a quarter step right each frame)
- Row 3: an exhausted salaryman bear asleep with his head on a canteen table, a newspaper over his head: frame 1 | frame 2 | frame 3 | frame 4 (the newspaper rises and falls with his breathing, a small 'z' bubble shape grows)
Output: PNG, Wide landscape image, 1536×1024.</t>
  </si>
  <si>
    <t xml:space="preserve">Steam in rice-cooker frames 2 and 4 is pink - may vanish when keyed.</t>
  </si>
  <si>
    <t xml:space="preserve">props_rooftop.png</t>
  </si>
  <si>
    <t xml:space="preserve">Rooftop secret spot: cherry tree, bench, water tank</t>
  </si>
  <si>
    <t xml:space="preserve">The bench under the tree is the secret 'real break' spot.</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</si>
  <si>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Objects on the quiet rooftop of a 1990s Tokyo office building, a peaceful hidden spot.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a small cherry tree in full pink blossom in a big square wooden planter | a simple wooden bench (the perfect lunch spot) with a few cherry petals on it | a round steel water tank on legs
- Row 2: an outdoor air-conditioner unit with a fan grille | a row of potted plants and a watering can | a small concrete stairwell hut with a steel door
Output: PNG, Wide landscape image, 1536×1024.</t>
  </si>
  <si>
    <t xml:space="preserve">props_healthweek.png</t>
  </si>
  <si>
    <t xml:space="preserve">Health Week leftovers in the canteen</t>
  </si>
  <si>
    <t xml:space="preserve">Leftovers from Health Week: running joke.</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</si>
  <si>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Sad leftovers from the company's Health Week, abandoned in the canteen.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a salad bar counter with wilted lettuce and one lonely cherry tomato | a fruit basket with one brown banana and a shrivelled apple | a rolled-up yoga mat leaning in a corner
- Row 2: a half-deflated sakura-pink balloon on a string tied to a chair | a stack of unused step-counter pedometers in a box | a smoothie blender, unplugged, with a green stain
Output: PNG, Wide landscape image, 1536×1024.</t>
  </si>
  <si>
    <t xml:space="preserve">Yoga-mat cell includes a piece of wall corner behind it.</t>
  </si>
  <si>
    <t xml:space="preserve">props_trays.png</t>
  </si>
  <si>
    <t xml:space="preserve">Lunch trays on the table: 4 meals full / half eaten, empty, spilled</t>
  </si>
  <si>
    <t xml:space="preserve">Seen from directly above-front. All trays exactly the same size.</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</si>
  <si>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Brown lacquered canteen lunch trays lying on a table, seen from above. Every tray is exactly the same size and shape; only the food changes.
Layout: a sprite sheet on a solid flat magenta background (#FF00FF, one single pure colour, no shading, no checkerboard). An evenly spaced grid of 4 columns and 3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tray with curry rice, pickles and a glass of water | tray with miso soup, rice, grilled fish and pickles | tray with two onigiri, miso soup and a pickled plum | tray with a big bowl of ramen and a small side of gyoza
- Row 2: the same four trays, each half eaten
- Row 3: an empty tray with chopsticks laid across | a tipped-over tray with spilled rice and soup | a pair of wooden chopsticks | a cup of green tea
Output: PNG, Wide landscape image, 1536×1024.</t>
  </si>
  <si>
    <t xml:space="preserve">Glass of water is see-through to magenta.</t>
  </si>
  <si>
    <t xml:space="preserve">food_icons.png</t>
  </si>
  <si>
    <t xml:space="preserve">Items &amp; effects</t>
  </si>
  <si>
    <t xml:space="preserve">Meal icons (buff choice) and side dishes</t>
  </si>
  <si>
    <t xml:space="preserve">Used on the ticket-machine menu and the HUD.</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</si>
  <si>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seen from directly above, completely flat.
Subject: Small food icons for a game menu and HUD, bold and readable.
Layout: a sprite sheet on a solid flat magenta background (#FF00FF, one single pure colour, no shading, no checkerboard). An evenly spaced grid of 4 columns and 2 rows of equal-sized cells with wide plain magenta gaps between the cells. Each cell shows one small item, centred, drawn at about 16×16 pixel-art resolution so each pixel is a big visible square block. No grid lines, borders, labels or numbers. Never use magenta or purple on the subjects themselves.
Cells, left to right, top to bottom:
- Row 1: curry rice on a plate | bowl of miso soup with tofu | two onigiri with nori | bowl of ramen with a tempura shrimp
- Row 2: small dish of pickles (bonus side dish) | glossy soft-boiled ramen egg | cup of green tea | empty rice bowl with chopsticks across it
Output: PNG, Wide landscape image, 1536×1024.</t>
  </si>
  <si>
    <t xml:space="preserve">fx_canteen.png</t>
  </si>
  <si>
    <t xml:space="preserve">Projectiles and effects: shrimp, pager ping, steam, splats</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</si>
  <si>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seen from directly above, completely flat.
Subject: Small game projectiles and effects for a canteen level.
Layout: a sprite sheet on a solid flat magenta background (#FF00FF, one single pure colour, no shading, no checkerboard). An evenly spaced grid of 4 columns and 2 rows of equal-sized cells with wide plain magenta gaps between the cells. Each cell shows one small item, centred, drawn at about 16×16 pixel-art resolution so each pixel is a big visible square block. No grid lines, borders, labels or numbers. Never use magenta or purple on the subjects themselves.
Cells, left to right, top to bottom:
- Row 1: tempura shrimp projectile pointing right | the same shrimp spinning, turned 45° | pager ping: three small green sound-wave arcs | white steam puff
- Row 2: splash of golden broth | spilled rice splat | a single noodle lash streak | gold sparkle burst (a dish finished)
Output: PNG, Wide landscape image, 1536×1024.</t>
  </si>
  <si>
    <t xml:space="preserve">ticket_machine_closeup.png</t>
  </si>
  <si>
    <t xml:space="preserve">Full scenes</t>
  </si>
  <si>
    <t xml:space="preserve">full scene</t>
  </si>
  <si>
    <t xml:space="preserve">320×180</t>
  </si>
  <si>
    <t xml:space="preserve">Close-up of the ticket machine for the order screen</t>
  </si>
  <si>
    <t xml:space="preserve">Background of the meal-choice screen; the code puts the food icons on the buttons.</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</si>
  <si>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straight-on front view, no characters in the scene.
Subject: A close-up of a cream 1990s Japanese shokken-ki meal-ticket vending machine filling the picture: a grid of 4 large EMPTY square buttons in one row across the middle (left blank, they will get pictures in the game), a coin slot and a ticket slot at the bottom right, a small paper-lantern sticker in the corner, a slightly scratched metal front, warm canteen light. No text anywhere.
Draw it as low-resolution pixel art, as if the whole picture were only 320×180 pixels scaled up, so each pixel is a big visible square block.
Output: the scene fills the whole image edge to edge, no border, no vignette, no text. Wide landscape image, 1536×1024 (it will be cropped to 16:9, so keep important things away from the top and bottom edges).</t>
  </si>
  <si>
    <t xml:space="preserve">canteen_title.png</t>
  </si>
  <si>
    <t xml:space="preserve">Level 2 title card: the canteen entrance at noon</t>
  </si>
  <si>
    <t xml:space="preserve">Level title card shown before the canteen starts.</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</si>
  <si>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of a 2D side-scrolling game stage, horizon level, no characters in the scene.
Subject: The entrance of a busy 1990s Japanese company canteen at noon: an indigo noren curtain over the doorway, a glass display case of plastic food samples, a ticket vending machine, warm light and steam coming from inside, a wall clock pointing to twelve. Large empty space at the top for the level title.
Draw it as low-resolution pixel art, as if the whole picture were only 320×180 pixels scaled up, so each pixel is a big visible square block.
Output: the scene fills the whole image edge to edge, no border, no vignette, no text. Wide landscape image, 1536×1024 (it will be cropped to 16:9, so keep important things away from the top and bottom edges).</t>
  </si>
  <si>
    <t xml:space="preserve">Lit like evening (dark blue sky) rather than noon.</t>
  </si>
  <si>
    <t xml:space="preserve">Ikigai 404 — Level 2: The Canteen — image prompts</t>
  </si>
  <si>
    <t xml:space="preserve">1. Pick a row on the Prompts tab, put your name in Assignee and set Status to In progress.</t>
  </si>
  <si>
    <t xml:space="preserve">2. Copy the whole Prompt cell into ChatGPT as one message. Follow the Attach / tip column if it says to attach an image.</t>
  </si>
  <si>
    <t xml:space="preserve">3. Save the image into assets/img/ with exactly the name in the File column.</t>
  </si>
  <si>
    <t xml:space="preserve">4. Run python3 tools/process_art.py, then set Status to Generated (or Processed once it is in the game).</t>
  </si>
  <si>
    <t xml:space="preserve">5. If the result is off, set Status to Needs redo and write why in Notes.</t>
  </si>
  <si>
    <t xml:space="preserve">Fix-up replies for ChatGPT</t>
  </si>
  <si>
    <t xml:space="preserve">Background not flat: "The background must be one flat pure magenta colour (#FF00FF), no shading, no floor, no checkerboard. Please output it again."</t>
  </si>
  <si>
    <t xml:space="preserve">Wrong grid: "Please redo it with exactly N columns and M rows, evenly spaced, with wide magenta gaps between cells."</t>
  </si>
  <si>
    <t xml:space="preserve">Too smooth: "Make it much lower resolution, real chunky pixel art with big visible square pixels and no anti-aliasing."</t>
  </si>
  <si>
    <t xml:space="preserve">Editable columns (yellow): Assignee, Status, Notes. Everything else is the spec.</t>
  </si>
  <si>
    <t xml:space="preserve">Order: make the player and boss sheets first, then the Ramen Bowl set, then props and tiles. Rows marked Nice can wait.</t>
  </si>
  <si>
    <t xml:space="preserve">Progress</t>
  </si>
  <si>
    <t xml:space="preserve">Total sheets</t>
  </si>
  <si>
    <t xml:space="preserve">To do</t>
  </si>
  <si>
    <t xml:space="preserve">In progress</t>
  </si>
  <si>
    <t xml:space="preserve">Generated</t>
  </si>
  <si>
    <t xml:space="preserve">Must still open</t>
  </si>
  <si>
    <t xml:space="preserve">Done (processed) %</t>
  </si>
  <si>
    <t xml:space="preserve">Name</t>
  </si>
  <si>
    <t xml:space="preserve">Hex</t>
  </si>
  <si>
    <t xml:space="preserve">Swatch</t>
  </si>
  <si>
    <t xml:space="preserve">ink black</t>
  </si>
  <si>
    <t xml:space="preserve">#1B1A2E</t>
  </si>
  <si>
    <t xml:space="preserve">night indigo</t>
  </si>
  <si>
    <t xml:space="preserve">#26295A</t>
  </si>
  <si>
    <t xml:space="preserve">slate blue</t>
  </si>
  <si>
    <t xml:space="preserve">#5468A8</t>
  </si>
  <si>
    <t xml:space="preserve">paper cream</t>
  </si>
  <si>
    <t xml:space="preserve">#F2E8D5</t>
  </si>
  <si>
    <t xml:space="preserve">warm grey</t>
  </si>
  <si>
    <t xml:space="preserve">#A39E93</t>
  </si>
  <si>
    <t xml:space="preserve">dark grey</t>
  </si>
  <si>
    <t xml:space="preserve">#5C5A63</t>
  </si>
  <si>
    <t xml:space="preserve">vermilion</t>
  </si>
  <si>
    <t xml:space="preserve">#D9412B</t>
  </si>
  <si>
    <t xml:space="preserve">deep red</t>
  </si>
  <si>
    <t xml:space="preserve">#8C2A2A</t>
  </si>
  <si>
    <t xml:space="preserve">ochre</t>
  </si>
  <si>
    <t xml:space="preserve">#B97A2E</t>
  </si>
  <si>
    <t xml:space="preserve">wood brown</t>
  </si>
  <si>
    <t xml:space="preserve">#6B4226</t>
  </si>
  <si>
    <t xml:space="preserve">celadon green</t>
  </si>
  <si>
    <t xml:space="preserve">#7FB3A0</t>
  </si>
  <si>
    <t xml:space="preserve">moss green</t>
  </si>
  <si>
    <t xml:space="preserve">#3E6B4F</t>
  </si>
  <si>
    <t xml:space="preserve">sakura pink</t>
  </si>
  <si>
    <t xml:space="preserve">#F2A7B8</t>
  </si>
  <si>
    <t xml:space="preserve">peach</t>
  </si>
  <si>
    <t xml:space="preserve">#F0C9A0</t>
  </si>
  <si>
    <t xml:space="preserve">gold</t>
  </si>
  <si>
    <t xml:space="preserve">#E8B84A</t>
  </si>
  <si>
    <t xml:space="preserve">sky blue</t>
  </si>
  <si>
    <t xml:space="preserve">#9CC3E6</t>
  </si>
  <si>
    <t xml:space="preserve">Shared 16-colour palette: tools/process_art.py snaps every sprite to it.</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</si>
</sst>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1"/>
      <color rgb="FFF2E8D5"/>
      <name val="Arial"/>
      <family val="0"/>
      <charset val="1"/>
    </font>
    <font>
      <sz val="10"/>
      <name val="Arial"/>
      <family val="0"/>
      <charset val="1"/>
    </font>
    <font>
      <b val="true"/>
      <sz val="10"/>
      <name val="Arial"/>
      <family val="0"/>
      <charset val="1"/>
    </font>
    <font>
      <b val="true"/>
      <sz val="14"/>
      <name val="Arial"/>
      <family val="0"/>
      <charset val="1"/>
    </font>
    <font>
      <sz val="11"/>
      <name val="Arial"/>
      <family val="0"/>
      <charset val="1"/>
    </font>
    <font>
      <b val="true"/>
      <sz val="11"/>
      <name val="Arial"/>
      <family val="0"/>
      <charset val="1"/>
    </font>
    <font>
      <i val="true"/>
      <sz val="11"/>
      <name val="Arial"/>
      <family val="0"/>
      <charset val="1"/>
    </font>
  </fonts>
  <fills count="19">
    <fill>
      <patternFill patternType="none"/>
    </fill>
    <fill>
      <patternFill patternType="gray125"/>
    </fill>
    <fill>
      <patternFill patternType="solid">
        <fgColor rgb="FF26295A"/>
        <bgColor rgb="FF1B1A2E"/>
      </patternFill>
    </fill>
    <fill>
      <patternFill patternType="solid">
        <fgColor rgb="FFFFF4C2"/>
        <bgColor rgb="FFFCE7C8"/>
      </patternFill>
    </fill>
    <fill>
      <patternFill patternType="solid">
        <fgColor rgb="FF1B1A2E"/>
        <bgColor rgb="FF26295A"/>
      </patternFill>
    </fill>
    <fill>
      <patternFill patternType="solid">
        <fgColor rgb="FF5468A8"/>
        <bgColor rgb="FF5C5A63"/>
      </patternFill>
    </fill>
    <fill>
      <patternFill patternType="solid">
        <fgColor rgb="FFF2E8D5"/>
        <bgColor rgb="FFFCE7C8"/>
      </patternFill>
    </fill>
    <fill>
      <patternFill patternType="solid">
        <fgColor rgb="FFA39E93"/>
        <bgColor rgb="FF7FB3A0"/>
      </patternFill>
    </fill>
    <fill>
      <patternFill patternType="solid">
        <fgColor rgb="FF5C5A63"/>
        <bgColor rgb="FF3E6B4F"/>
      </patternFill>
    </fill>
    <fill>
      <patternFill patternType="solid">
        <fgColor rgb="FFD9412B"/>
        <bgColor rgb="FF993366"/>
      </patternFill>
    </fill>
    <fill>
      <patternFill patternType="solid">
        <fgColor rgb="FF8C2A2A"/>
        <bgColor rgb="FF993366"/>
      </patternFill>
    </fill>
    <fill>
      <patternFill patternType="solid">
        <fgColor rgb="FFB97A2E"/>
        <bgColor rgb="FFA39E93"/>
      </patternFill>
    </fill>
    <fill>
      <patternFill patternType="solid">
        <fgColor rgb="FF6B4226"/>
        <bgColor rgb="FF8C2A2A"/>
      </patternFill>
    </fill>
    <fill>
      <patternFill patternType="solid">
        <fgColor rgb="FF7FB3A0"/>
        <bgColor rgb="FFA39E93"/>
      </patternFill>
    </fill>
    <fill>
      <patternFill patternType="solid">
        <fgColor rgb="FF3E6B4F"/>
        <bgColor rgb="FF5C5A63"/>
      </patternFill>
    </fill>
    <fill>
      <patternFill patternType="solid">
        <fgColor rgb="FFF2A7B8"/>
        <bgColor rgb="FFF6C9C2"/>
      </patternFill>
    </fill>
    <fill>
      <patternFill patternType="solid">
        <fgColor rgb="FFF0C9A0"/>
        <bgColor rgb="FFF6C9C2"/>
      </patternFill>
    </fill>
    <fill>
      <patternFill patternType="solid">
        <fgColor rgb="FFE8B84A"/>
        <bgColor rgb="FFF0C9A0"/>
      </patternFill>
    </fill>
    <fill>
      <patternFill patternType="solid">
        <fgColor rgb="FF9CC3E6"/>
        <bgColor rgb="FFCCCCFF"/>
      </patternFill>
    </fill>
  </fills>
  <borders count="2">
    <border diagonalUp="false" diagonalDown="false">
      <left/>
      <right/>
      <top/>
      <bottom/>
      <diagonal/>
    </border>
    <border diagonalUp="false" diagonalDown="false">
      <left style="thin">
        <color rgb="FFA39E93"/>
      </left>
      <right style="thin">
        <color rgb="FFA39E93"/>
      </right>
      <top style="thin">
        <color rgb="FFA39E93"/>
      </top>
      <bottom style="thin">
        <color rgb="FFA39E9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0" fillId="8" borderId="0" xfId="0" applyFont="false" applyBorder="false" applyAlignment="true" applyProtection="false">
      <alignment horizontal="general" vertical="bottom" textRotation="0" wrapText="fals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4" fontId="0" fillId="10" borderId="0" xfId="0" applyFont="false" applyBorder="false" applyAlignment="tru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64" fontId="0" fillId="12" borderId="0" xfId="0" applyFont="false" applyBorder="fals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64" fontId="0" fillId="15" borderId="0" xfId="0" applyFont="false" applyBorder="false" applyAlignment="true" applyProtection="false">
      <alignment horizontal="general" vertical="bottom" textRotation="0" wrapText="false" indent="0" shrinkToFit="false"/>
      <protection locked="true" hidden="false"/>
    </xf>
    <xf numFmtId="164" fontId="0" fillId="16" borderId="0" xfId="0" applyFont="false" applyBorder="false" applyAlignment="true" applyProtection="false">
      <alignment horizontal="general" vertical="bottom" textRotation="0" wrapText="false" indent="0" shrinkToFit="false"/>
      <protection locked="true" hidden="false"/>
    </xf>
    <xf numFmtId="164" fontId="0" fillId="17" borderId="0" xfId="0" applyFont="false" applyBorder="false" applyAlignment="true" applyProtection="false">
      <alignment horizontal="general" vertical="bottom" textRotation="0" wrapText="false" indent="0" shrinkToFit="false"/>
      <protection locked="true" hidden="false"/>
    </xf>
    <xf numFmtId="164" fontId="0" fillId="18"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26295A"/>
          <bgColor rgb="FF000000"/>
        </patternFill>
      </fill>
    </dxf>
    <dxf>
      <fill>
        <patternFill patternType="solid">
          <bgColor rgb="FF000000"/>
        </patternFill>
      </fill>
    </dxf>
    <dxf>
      <fill>
        <patternFill patternType="solid">
          <fgColor rgb="FFF2E8D5"/>
          <bgColor rgb="FF000000"/>
        </patternFill>
      </fill>
    </dxf>
    <dxf>
      <fill>
        <patternFill patternType="solid">
          <fgColor rgb="FFFFF4C2"/>
          <bgColor rgb="FF000000"/>
        </patternFill>
      </fill>
    </dxf>
    <dxf>
      <fill>
        <patternFill patternType="solid">
          <fgColor rgb="FFC6E6D6"/>
          <bgColor rgb="FF000000"/>
        </patternFill>
      </fill>
    </dxf>
    <dxf>
      <fill>
        <patternFill patternType="solid">
          <fgColor rgb="FFF6C9C2"/>
          <bgColor rgb="FF000000"/>
        </patternFill>
      </fill>
    </dxf>
    <dxf>
      <fill>
        <patternFill>
          <bgColor rgb="FFC6E6D6"/>
        </patternFill>
      </fill>
    </dxf>
    <dxf>
      <fill>
        <patternFill>
          <bgColor rgb="FFDCE8F5"/>
        </patternFill>
      </fill>
    </dxf>
    <dxf>
      <fill>
        <patternFill>
          <bgColor rgb="FFFCE7C8"/>
        </patternFill>
      </fill>
    </dxf>
    <dxf>
      <fill>
        <patternFill>
          <bgColor rgb="FFF6C9C2"/>
        </patternFill>
      </fill>
    </dxf>
  </dxfs>
  <colors>
    <indexedColors>
      <rgbColor rgb="FF000000"/>
      <rgbColor rgb="FFF2E8D5"/>
      <rgbColor rgb="FFFF0000"/>
      <rgbColor rgb="FF00FF00"/>
      <rgbColor rgb="FF0000FF"/>
      <rgbColor rgb="FFFFFF00"/>
      <rgbColor rgb="FFFF00FF"/>
      <rgbColor rgb="FF00FFFF"/>
      <rgbColor rgb="FF800000"/>
      <rgbColor rgb="FF008000"/>
      <rgbColor rgb="FF000080"/>
      <rgbColor rgb="FFB97A2E"/>
      <rgbColor rgb="FF800080"/>
      <rgbColor rgb="FF008080"/>
      <rgbColor rgb="FFF6C9C2"/>
      <rgbColor rgb="FF5C5A63"/>
      <rgbColor rgb="FF7FB3A0"/>
      <rgbColor rgb="FF6B4226"/>
      <rgbColor rgb="FFFFF4C2"/>
      <rgbColor rgb="FFDCE8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6D6"/>
      <rgbColor rgb="FFFCE7C8"/>
      <rgbColor rgb="FF9CC3E6"/>
      <rgbColor rgb="FFF2A7B8"/>
      <rgbColor rgb="FFCC99FF"/>
      <rgbColor rgb="FFF0C9A0"/>
      <rgbColor rgb="FF3366FF"/>
      <rgbColor rgb="FF33CCCC"/>
      <rgbColor rgb="FF99CC00"/>
      <rgbColor rgb="FFE8B84A"/>
      <rgbColor rgb="FFFF9900"/>
      <rgbColor rgb="FFD9412B"/>
      <rgbColor rgb="FF5468A8"/>
      <rgbColor rgb="FFA39E93"/>
      <rgbColor rgb="FF003366"/>
      <rgbColor rgb="FF3E6B4F"/>
      <rgbColor rgb="FF003300"/>
      <rgbColor rgb="FF1B1A2E"/>
      <rgbColor rgb="FF8C2A2A"/>
      <rgbColor rgb="FF993366"/>
      <rgbColor rgb="FF333399"/>
      <rgbColor rgb="FF2629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22"/>
    <col collapsed="false" customWidth="true" hidden="false" outlineLevel="0" max="4" min="4" style="1" width="12"/>
    <col collapsed="false" customWidth="true" hidden="false" outlineLevel="0" max="5" min="5" style="1" width="10"/>
    <col collapsed="false" customWidth="true" hidden="false" outlineLevel="0" max="6" min="6" style="1" width="9"/>
    <col collapsed="false" customWidth="true" hidden="false" outlineLevel="0" max="7" min="7" style="1" width="38"/>
    <col collapsed="false" customWidth="true" hidden="false" outlineLevel="0" max="8" min="8" style="1" width="40"/>
    <col collapsed="false" customWidth="true" hidden="false" outlineLevel="0" max="9" min="9" style="1" width="90"/>
    <col collapsed="false" customWidth="true" hidden="false" outlineLevel="0" max="11" min="10" style="1" width="14"/>
    <col collapsed="false" customWidth="true" hidden="false" outlineLevel="0" max="12" min="12" style="1" width="30"/>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150" hidden="false" customHeight="true" outlineLevel="0" collapsed="false">
      <c r="A2" s="3" t="n">
        <v>1</v>
      </c>
      <c r="B2" s="4" t="s">
        <v>12</v>
      </c>
      <c r="C2" s="3" t="s">
        <v>13</v>
      </c>
      <c r="D2" s="3" t="s">
        <v>14</v>
      </c>
      <c r="E2" s="3" t="s">
        <v>15</v>
      </c>
      <c r="F2" s="3" t="s">
        <v>16</v>
      </c>
      <c r="G2" s="3" t="s">
        <v>17</v>
      </c>
      <c r="H2" s="3" t="s">
        <v>18</v>
      </c>
      <c r="I2" s="3" t="s">
        <v>19</v>
      </c>
      <c r="J2" s="5"/>
      <c r="K2" s="5" t="s">
        <v>20</v>
      </c>
      <c r="L2" s="5"/>
    </row>
    <row r="3" customFormat="false" ht="150" hidden="false" customHeight="true" outlineLevel="0" collapsed="false">
      <c r="A3" s="3" t="n">
        <v>2</v>
      </c>
      <c r="B3" s="4" t="s">
        <v>21</v>
      </c>
      <c r="C3" s="3" t="s">
        <v>13</v>
      </c>
      <c r="D3" s="3" t="s">
        <v>22</v>
      </c>
      <c r="E3" s="3" t="s">
        <v>15</v>
      </c>
      <c r="F3" s="3" t="s">
        <v>16</v>
      </c>
      <c r="G3" s="3" t="s">
        <v>23</v>
      </c>
      <c r="H3" s="3" t="s">
        <v>24</v>
      </c>
      <c r="I3" s="3" t="s">
        <v>25</v>
      </c>
      <c r="J3" s="5"/>
      <c r="K3" s="5" t="s">
        <v>20</v>
      </c>
      <c r="L3" s="5"/>
    </row>
    <row r="4" customFormat="false" ht="150" hidden="false" customHeight="true" outlineLevel="0" collapsed="false">
      <c r="A4" s="3" t="n">
        <v>3</v>
      </c>
      <c r="B4" s="4" t="s">
        <v>26</v>
      </c>
      <c r="C4" s="3" t="s">
        <v>27</v>
      </c>
      <c r="D4" s="3" t="s">
        <v>22</v>
      </c>
      <c r="E4" s="3" t="s">
        <v>28</v>
      </c>
      <c r="F4" s="3" t="s">
        <v>16</v>
      </c>
      <c r="G4" s="3" t="s">
        <v>29</v>
      </c>
      <c r="H4" s="3" t="s">
        <v>30</v>
      </c>
      <c r="I4" s="3" t="s">
        <v>31</v>
      </c>
      <c r="J4" s="5"/>
      <c r="K4" s="5" t="s">
        <v>20</v>
      </c>
      <c r="L4" s="5"/>
    </row>
    <row r="5" customFormat="false" ht="150" hidden="false" customHeight="true" outlineLevel="0" collapsed="false">
      <c r="A5" s="3" t="n">
        <v>4</v>
      </c>
      <c r="B5" s="4" t="s">
        <v>32</v>
      </c>
      <c r="C5" s="3" t="s">
        <v>27</v>
      </c>
      <c r="D5" s="3" t="s">
        <v>22</v>
      </c>
      <c r="E5" s="3" t="s">
        <v>15</v>
      </c>
      <c r="F5" s="3" t="s">
        <v>16</v>
      </c>
      <c r="G5" s="3" t="s">
        <v>33</v>
      </c>
      <c r="H5" s="3" t="s">
        <v>34</v>
      </c>
      <c r="I5" s="3" t="s">
        <v>35</v>
      </c>
      <c r="J5" s="5"/>
      <c r="K5" s="5" t="s">
        <v>20</v>
      </c>
      <c r="L5" s="5"/>
    </row>
    <row r="6" customFormat="false" ht="150" hidden="false" customHeight="true" outlineLevel="0" collapsed="false">
      <c r="A6" s="3" t="n">
        <v>5</v>
      </c>
      <c r="B6" s="4" t="s">
        <v>36</v>
      </c>
      <c r="C6" s="3" t="s">
        <v>27</v>
      </c>
      <c r="D6" s="3" t="s">
        <v>37</v>
      </c>
      <c r="E6" s="3" t="s">
        <v>38</v>
      </c>
      <c r="F6" s="3" t="s">
        <v>16</v>
      </c>
      <c r="G6" s="3" t="s">
        <v>39</v>
      </c>
      <c r="H6" s="3" t="s">
        <v>40</v>
      </c>
      <c r="I6" s="3" t="s">
        <v>41</v>
      </c>
      <c r="J6" s="5"/>
      <c r="K6" s="5" t="s">
        <v>20</v>
      </c>
      <c r="L6" s="5"/>
    </row>
    <row r="7" customFormat="false" ht="150" hidden="false" customHeight="true" outlineLevel="0" collapsed="false">
      <c r="A7" s="3" t="n">
        <v>6</v>
      </c>
      <c r="B7" s="4" t="s">
        <v>42</v>
      </c>
      <c r="C7" s="3" t="s">
        <v>27</v>
      </c>
      <c r="D7" s="3" t="s">
        <v>43</v>
      </c>
      <c r="E7" s="3" t="s">
        <v>28</v>
      </c>
      <c r="F7" s="3" t="s">
        <v>44</v>
      </c>
      <c r="G7" s="3" t="s">
        <v>45</v>
      </c>
      <c r="H7" s="3" t="s">
        <v>46</v>
      </c>
      <c r="I7" s="3" t="s">
        <v>47</v>
      </c>
      <c r="J7" s="5"/>
      <c r="K7" s="5" t="s">
        <v>20</v>
      </c>
      <c r="L7" s="5"/>
    </row>
    <row r="8" customFormat="false" ht="150" hidden="false" customHeight="true" outlineLevel="0" collapsed="false">
      <c r="A8" s="3" t="n">
        <v>7</v>
      </c>
      <c r="B8" s="4" t="s">
        <v>48</v>
      </c>
      <c r="C8" s="3" t="s">
        <v>49</v>
      </c>
      <c r="D8" s="3" t="s">
        <v>50</v>
      </c>
      <c r="E8" s="3" t="s">
        <v>51</v>
      </c>
      <c r="F8" s="3" t="s">
        <v>16</v>
      </c>
      <c r="G8" s="3" t="s">
        <v>52</v>
      </c>
      <c r="H8" s="3" t="s">
        <v>53</v>
      </c>
      <c r="I8" s="3" t="s">
        <v>54</v>
      </c>
      <c r="J8" s="5"/>
      <c r="K8" s="5" t="s">
        <v>20</v>
      </c>
      <c r="L8" s="5"/>
    </row>
    <row r="9" customFormat="false" ht="150" hidden="false" customHeight="true" outlineLevel="0" collapsed="false">
      <c r="A9" s="3" t="n">
        <v>8</v>
      </c>
      <c r="B9" s="4" t="s">
        <v>55</v>
      </c>
      <c r="C9" s="3" t="s">
        <v>49</v>
      </c>
      <c r="D9" s="3" t="s">
        <v>37</v>
      </c>
      <c r="E9" s="3" t="s">
        <v>56</v>
      </c>
      <c r="F9" s="3" t="s">
        <v>16</v>
      </c>
      <c r="G9" s="3" t="s">
        <v>57</v>
      </c>
      <c r="H9" s="3"/>
      <c r="I9" s="3" t="s">
        <v>58</v>
      </c>
      <c r="J9" s="5"/>
      <c r="K9" s="5" t="s">
        <v>20</v>
      </c>
      <c r="L9" s="5"/>
    </row>
    <row r="10" customFormat="false" ht="150" hidden="false" customHeight="true" outlineLevel="0" collapsed="false">
      <c r="A10" s="3" t="n">
        <v>9</v>
      </c>
      <c r="B10" s="4" t="s">
        <v>59</v>
      </c>
      <c r="C10" s="3" t="s">
        <v>49</v>
      </c>
      <c r="D10" s="3" t="s">
        <v>37</v>
      </c>
      <c r="E10" s="3" t="s">
        <v>15</v>
      </c>
      <c r="F10" s="3" t="s">
        <v>16</v>
      </c>
      <c r="G10" s="3" t="s">
        <v>60</v>
      </c>
      <c r="H10" s="3"/>
      <c r="I10" s="3" t="s">
        <v>61</v>
      </c>
      <c r="J10" s="5"/>
      <c r="K10" s="5" t="s">
        <v>20</v>
      </c>
      <c r="L10" s="5"/>
    </row>
    <row r="11" customFormat="false" ht="150" hidden="false" customHeight="true" outlineLevel="0" collapsed="false">
      <c r="A11" s="3" t="n">
        <v>10</v>
      </c>
      <c r="B11" s="4" t="s">
        <v>62</v>
      </c>
      <c r="C11" s="3" t="s">
        <v>63</v>
      </c>
      <c r="D11" s="3" t="s">
        <v>37</v>
      </c>
      <c r="E11" s="3" t="s">
        <v>56</v>
      </c>
      <c r="F11" s="3" t="s">
        <v>16</v>
      </c>
      <c r="G11" s="3" t="s">
        <v>64</v>
      </c>
      <c r="H11" s="3"/>
      <c r="I11" s="3" t="s">
        <v>65</v>
      </c>
      <c r="J11" s="5"/>
      <c r="K11" s="5" t="s">
        <v>20</v>
      </c>
      <c r="L11" s="5" t="s">
        <v>66</v>
      </c>
    </row>
    <row r="12" customFormat="false" ht="150" hidden="false" customHeight="true" outlineLevel="0" collapsed="false">
      <c r="A12" s="3" t="n">
        <v>11</v>
      </c>
      <c r="B12" s="4" t="s">
        <v>67</v>
      </c>
      <c r="C12" s="3" t="s">
        <v>63</v>
      </c>
      <c r="D12" s="3" t="s">
        <v>37</v>
      </c>
      <c r="E12" s="3" t="s">
        <v>56</v>
      </c>
      <c r="F12" s="3" t="s">
        <v>16</v>
      </c>
      <c r="G12" s="3" t="s">
        <v>68</v>
      </c>
      <c r="H12" s="3"/>
      <c r="I12" s="3" t="s">
        <v>69</v>
      </c>
      <c r="J12" s="5"/>
      <c r="K12" s="5" t="s">
        <v>20</v>
      </c>
      <c r="L12" s="5"/>
    </row>
    <row r="13" customFormat="false" ht="150" hidden="false" customHeight="true" outlineLevel="0" collapsed="false">
      <c r="A13" s="3" t="n">
        <v>12</v>
      </c>
      <c r="B13" s="4" t="s">
        <v>70</v>
      </c>
      <c r="C13" s="3" t="s">
        <v>63</v>
      </c>
      <c r="D13" s="3" t="s">
        <v>37</v>
      </c>
      <c r="E13" s="3" t="s">
        <v>15</v>
      </c>
      <c r="F13" s="3" t="s">
        <v>16</v>
      </c>
      <c r="G13" s="3" t="s">
        <v>71</v>
      </c>
      <c r="H13" s="3"/>
      <c r="I13" s="3" t="s">
        <v>72</v>
      </c>
      <c r="J13" s="5"/>
      <c r="K13" s="5" t="s">
        <v>20</v>
      </c>
      <c r="L13" s="5"/>
    </row>
    <row r="14" customFormat="false" ht="150" hidden="false" customHeight="true" outlineLevel="0" collapsed="false">
      <c r="A14" s="3" t="n">
        <v>13</v>
      </c>
      <c r="B14" s="4" t="s">
        <v>73</v>
      </c>
      <c r="C14" s="3" t="s">
        <v>74</v>
      </c>
      <c r="D14" s="3" t="s">
        <v>37</v>
      </c>
      <c r="E14" s="3" t="s">
        <v>15</v>
      </c>
      <c r="F14" s="3" t="s">
        <v>16</v>
      </c>
      <c r="G14" s="3" t="s">
        <v>75</v>
      </c>
      <c r="H14" s="3" t="s">
        <v>76</v>
      </c>
      <c r="I14" s="3" t="s">
        <v>77</v>
      </c>
      <c r="J14" s="5"/>
      <c r="K14" s="5" t="s">
        <v>20</v>
      </c>
      <c r="L14" s="5"/>
    </row>
    <row r="15" customFormat="false" ht="150" hidden="false" customHeight="true" outlineLevel="0" collapsed="false">
      <c r="A15" s="3" t="n">
        <v>14</v>
      </c>
      <c r="B15" s="4" t="s">
        <v>78</v>
      </c>
      <c r="C15" s="3" t="s">
        <v>74</v>
      </c>
      <c r="D15" s="3" t="s">
        <v>37</v>
      </c>
      <c r="E15" s="3" t="s">
        <v>15</v>
      </c>
      <c r="F15" s="3" t="s">
        <v>16</v>
      </c>
      <c r="G15" s="3" t="s">
        <v>79</v>
      </c>
      <c r="H15" s="3" t="s">
        <v>80</v>
      </c>
      <c r="I15" s="3" t="s">
        <v>81</v>
      </c>
      <c r="J15" s="5"/>
      <c r="K15" s="5" t="s">
        <v>20</v>
      </c>
      <c r="L15" s="5" t="s">
        <v>82</v>
      </c>
    </row>
    <row r="16" customFormat="false" ht="150" hidden="false" customHeight="true" outlineLevel="0" collapsed="false">
      <c r="A16" s="3" t="n">
        <v>15</v>
      </c>
      <c r="B16" s="4" t="s">
        <v>83</v>
      </c>
      <c r="C16" s="3" t="s">
        <v>84</v>
      </c>
      <c r="D16" s="3" t="s">
        <v>85</v>
      </c>
      <c r="E16" s="3" t="s">
        <v>15</v>
      </c>
      <c r="F16" s="3" t="s">
        <v>16</v>
      </c>
      <c r="G16" s="3" t="s">
        <v>86</v>
      </c>
      <c r="H16" s="3" t="s">
        <v>87</v>
      </c>
      <c r="I16" s="3" t="s">
        <v>88</v>
      </c>
      <c r="J16" s="5"/>
      <c r="K16" s="5" t="s">
        <v>20</v>
      </c>
      <c r="L16" s="5" t="s">
        <v>89</v>
      </c>
    </row>
    <row r="17" customFormat="false" ht="150" hidden="false" customHeight="true" outlineLevel="0" collapsed="false">
      <c r="A17" s="3" t="n">
        <v>16</v>
      </c>
      <c r="B17" s="4" t="s">
        <v>90</v>
      </c>
      <c r="C17" s="3" t="s">
        <v>84</v>
      </c>
      <c r="D17" s="3" t="s">
        <v>85</v>
      </c>
      <c r="E17" s="3" t="s">
        <v>15</v>
      </c>
      <c r="F17" s="3" t="s">
        <v>16</v>
      </c>
      <c r="G17" s="3" t="s">
        <v>91</v>
      </c>
      <c r="H17" s="3" t="s">
        <v>92</v>
      </c>
      <c r="I17" s="3" t="s">
        <v>93</v>
      </c>
      <c r="J17" s="5"/>
      <c r="K17" s="5" t="s">
        <v>20</v>
      </c>
      <c r="L17" s="5" t="s">
        <v>89</v>
      </c>
    </row>
    <row r="18" customFormat="false" ht="150" hidden="false" customHeight="true" outlineLevel="0" collapsed="false">
      <c r="A18" s="3" t="n">
        <v>17</v>
      </c>
      <c r="B18" s="4" t="s">
        <v>94</v>
      </c>
      <c r="C18" s="3" t="s">
        <v>84</v>
      </c>
      <c r="D18" s="3" t="s">
        <v>14</v>
      </c>
      <c r="E18" s="3" t="s">
        <v>15</v>
      </c>
      <c r="F18" s="3" t="s">
        <v>44</v>
      </c>
      <c r="G18" s="3" t="s">
        <v>95</v>
      </c>
      <c r="H18" s="3"/>
      <c r="I18" s="3" t="s">
        <v>96</v>
      </c>
      <c r="J18" s="5"/>
      <c r="K18" s="5" t="s">
        <v>20</v>
      </c>
      <c r="L18" s="5" t="s">
        <v>97</v>
      </c>
    </row>
    <row r="19" customFormat="false" ht="150" hidden="false" customHeight="true" outlineLevel="0" collapsed="false">
      <c r="A19" s="3" t="n">
        <v>18</v>
      </c>
      <c r="B19" s="4" t="s">
        <v>98</v>
      </c>
      <c r="C19" s="3" t="s">
        <v>99</v>
      </c>
      <c r="D19" s="3" t="s">
        <v>85</v>
      </c>
      <c r="E19" s="3" t="s">
        <v>38</v>
      </c>
      <c r="F19" s="3" t="s">
        <v>16</v>
      </c>
      <c r="G19" s="3" t="s">
        <v>100</v>
      </c>
      <c r="H19" s="3" t="s">
        <v>101</v>
      </c>
      <c r="I19" s="3" t="s">
        <v>102</v>
      </c>
      <c r="J19" s="5"/>
      <c r="K19" s="5" t="s">
        <v>20</v>
      </c>
      <c r="L19" s="5"/>
    </row>
    <row r="20" customFormat="false" ht="150" hidden="false" customHeight="true" outlineLevel="0" collapsed="false">
      <c r="A20" s="3" t="n">
        <v>19</v>
      </c>
      <c r="B20" s="4" t="s">
        <v>103</v>
      </c>
      <c r="C20" s="3" t="s">
        <v>99</v>
      </c>
      <c r="D20" s="3" t="s">
        <v>85</v>
      </c>
      <c r="E20" s="3" t="s">
        <v>38</v>
      </c>
      <c r="F20" s="3" t="s">
        <v>16</v>
      </c>
      <c r="G20" s="3" t="s">
        <v>104</v>
      </c>
      <c r="H20" s="3" t="s">
        <v>105</v>
      </c>
      <c r="I20" s="3" t="s">
        <v>106</v>
      </c>
      <c r="J20" s="5"/>
      <c r="K20" s="5" t="s">
        <v>107</v>
      </c>
      <c r="L20" s="5" t="s">
        <v>108</v>
      </c>
    </row>
    <row r="21" customFormat="false" ht="150" hidden="false" customHeight="true" outlineLevel="0" collapsed="false">
      <c r="A21" s="3" t="n">
        <v>20</v>
      </c>
      <c r="B21" s="4" t="s">
        <v>109</v>
      </c>
      <c r="C21" s="3" t="s">
        <v>99</v>
      </c>
      <c r="D21" s="3" t="s">
        <v>22</v>
      </c>
      <c r="E21" s="3" t="s">
        <v>38</v>
      </c>
      <c r="F21" s="3" t="s">
        <v>44</v>
      </c>
      <c r="G21" s="3" t="s">
        <v>110</v>
      </c>
      <c r="H21" s="3" t="s">
        <v>111</v>
      </c>
      <c r="I21" s="3" t="s">
        <v>112</v>
      </c>
      <c r="J21" s="5"/>
      <c r="K21" s="5" t="s">
        <v>20</v>
      </c>
      <c r="L21" s="5"/>
    </row>
    <row r="22" customFormat="false" ht="150" hidden="false" customHeight="true" outlineLevel="0" collapsed="false">
      <c r="A22" s="3" t="n">
        <v>21</v>
      </c>
      <c r="B22" s="4" t="s">
        <v>113</v>
      </c>
      <c r="C22" s="3" t="s">
        <v>114</v>
      </c>
      <c r="D22" s="3" t="s">
        <v>115</v>
      </c>
      <c r="E22" s="3" t="s">
        <v>51</v>
      </c>
      <c r="F22" s="3" t="s">
        <v>16</v>
      </c>
      <c r="G22" s="3" t="s">
        <v>116</v>
      </c>
      <c r="H22" s="3" t="s">
        <v>117</v>
      </c>
      <c r="I22" s="3" t="s">
        <v>118</v>
      </c>
      <c r="J22" s="5"/>
      <c r="K22" s="5" t="s">
        <v>20</v>
      </c>
      <c r="L22" s="5" t="s">
        <v>119</v>
      </c>
    </row>
    <row r="23" customFormat="false" ht="150" hidden="false" customHeight="true" outlineLevel="0" collapsed="false">
      <c r="A23" s="3" t="n">
        <v>22</v>
      </c>
      <c r="B23" s="4" t="s">
        <v>120</v>
      </c>
      <c r="C23" s="3" t="s">
        <v>114</v>
      </c>
      <c r="D23" s="3" t="s">
        <v>115</v>
      </c>
      <c r="E23" s="3" t="s">
        <v>51</v>
      </c>
      <c r="F23" s="3" t="s">
        <v>16</v>
      </c>
      <c r="G23" s="3" t="s">
        <v>121</v>
      </c>
      <c r="H23" s="3" t="s">
        <v>122</v>
      </c>
      <c r="I23" s="3" t="s">
        <v>123</v>
      </c>
      <c r="J23" s="5"/>
      <c r="K23" s="5" t="s">
        <v>20</v>
      </c>
      <c r="L23" s="5"/>
    </row>
    <row r="24" customFormat="false" ht="150" hidden="false" customHeight="true" outlineLevel="0" collapsed="false">
      <c r="A24" s="3" t="n">
        <v>23</v>
      </c>
      <c r="B24" s="4" t="s">
        <v>124</v>
      </c>
      <c r="C24" s="3" t="s">
        <v>114</v>
      </c>
      <c r="D24" s="3" t="s">
        <v>115</v>
      </c>
      <c r="E24" s="3" t="s">
        <v>51</v>
      </c>
      <c r="F24" s="3" t="s">
        <v>16</v>
      </c>
      <c r="G24" s="3" t="s">
        <v>125</v>
      </c>
      <c r="H24" s="3"/>
      <c r="I24" s="3" t="s">
        <v>126</v>
      </c>
      <c r="J24" s="5"/>
      <c r="K24" s="5" t="s">
        <v>20</v>
      </c>
      <c r="L24" s="5"/>
    </row>
    <row r="25" customFormat="false" ht="150" hidden="false" customHeight="true" outlineLevel="0" collapsed="false">
      <c r="A25" s="3" t="n">
        <v>24</v>
      </c>
      <c r="B25" s="4" t="s">
        <v>127</v>
      </c>
      <c r="C25" s="3" t="s">
        <v>114</v>
      </c>
      <c r="D25" s="3" t="s">
        <v>50</v>
      </c>
      <c r="E25" s="3" t="s">
        <v>51</v>
      </c>
      <c r="F25" s="3" t="s">
        <v>16</v>
      </c>
      <c r="G25" s="3" t="s">
        <v>128</v>
      </c>
      <c r="H25" s="3" t="s">
        <v>129</v>
      </c>
      <c r="I25" s="3" t="s">
        <v>130</v>
      </c>
      <c r="J25" s="5"/>
      <c r="K25" s="5" t="s">
        <v>20</v>
      </c>
      <c r="L25" s="5" t="s">
        <v>131</v>
      </c>
    </row>
    <row r="26" customFormat="false" ht="150" hidden="false" customHeight="true" outlineLevel="0" collapsed="false">
      <c r="A26" s="3" t="n">
        <v>25</v>
      </c>
      <c r="B26" s="4" t="s">
        <v>132</v>
      </c>
      <c r="C26" s="3" t="s">
        <v>114</v>
      </c>
      <c r="D26" s="3" t="s">
        <v>115</v>
      </c>
      <c r="E26" s="3" t="s">
        <v>51</v>
      </c>
      <c r="F26" s="3" t="s">
        <v>16</v>
      </c>
      <c r="G26" s="3" t="s">
        <v>133</v>
      </c>
      <c r="H26" s="3" t="s">
        <v>134</v>
      </c>
      <c r="I26" s="3" t="s">
        <v>135</v>
      </c>
      <c r="J26" s="5"/>
      <c r="K26" s="5" t="s">
        <v>20</v>
      </c>
      <c r="L26" s="5"/>
    </row>
    <row r="27" customFormat="false" ht="150" hidden="false" customHeight="true" outlineLevel="0" collapsed="false">
      <c r="A27" s="3" t="n">
        <v>26</v>
      </c>
      <c r="B27" s="4" t="s">
        <v>136</v>
      </c>
      <c r="C27" s="3" t="s">
        <v>114</v>
      </c>
      <c r="D27" s="3" t="s">
        <v>115</v>
      </c>
      <c r="E27" s="3" t="s">
        <v>51</v>
      </c>
      <c r="F27" s="3" t="s">
        <v>44</v>
      </c>
      <c r="G27" s="3" t="s">
        <v>137</v>
      </c>
      <c r="H27" s="3" t="s">
        <v>138</v>
      </c>
      <c r="I27" s="3" t="s">
        <v>139</v>
      </c>
      <c r="J27" s="5"/>
      <c r="K27" s="5" t="s">
        <v>20</v>
      </c>
      <c r="L27" s="5" t="s">
        <v>140</v>
      </c>
    </row>
    <row r="28" customFormat="false" ht="150" hidden="false" customHeight="true" outlineLevel="0" collapsed="false">
      <c r="A28" s="3" t="n">
        <v>27</v>
      </c>
      <c r="B28" s="4" t="s">
        <v>141</v>
      </c>
      <c r="C28" s="3" t="s">
        <v>114</v>
      </c>
      <c r="D28" s="3" t="s">
        <v>50</v>
      </c>
      <c r="E28" s="3" t="s">
        <v>56</v>
      </c>
      <c r="F28" s="3" t="s">
        <v>16</v>
      </c>
      <c r="G28" s="3" t="s">
        <v>142</v>
      </c>
      <c r="H28" s="3" t="s">
        <v>143</v>
      </c>
      <c r="I28" s="3" t="s">
        <v>144</v>
      </c>
      <c r="J28" s="5"/>
      <c r="K28" s="5" t="s">
        <v>20</v>
      </c>
      <c r="L28" s="5" t="s">
        <v>145</v>
      </c>
    </row>
    <row r="29" customFormat="false" ht="150" hidden="false" customHeight="true" outlineLevel="0" collapsed="false">
      <c r="A29" s="3" t="n">
        <v>28</v>
      </c>
      <c r="B29" s="4" t="s">
        <v>146</v>
      </c>
      <c r="C29" s="3" t="s">
        <v>147</v>
      </c>
      <c r="D29" s="3" t="s">
        <v>22</v>
      </c>
      <c r="E29" s="3" t="s">
        <v>38</v>
      </c>
      <c r="F29" s="3" t="s">
        <v>16</v>
      </c>
      <c r="G29" s="3" t="s">
        <v>148</v>
      </c>
      <c r="H29" s="3" t="s">
        <v>149</v>
      </c>
      <c r="I29" s="3" t="s">
        <v>150</v>
      </c>
      <c r="J29" s="5"/>
      <c r="K29" s="5" t="s">
        <v>20</v>
      </c>
      <c r="L29" s="5"/>
    </row>
    <row r="30" customFormat="false" ht="150" hidden="false" customHeight="true" outlineLevel="0" collapsed="false">
      <c r="A30" s="3" t="n">
        <v>29</v>
      </c>
      <c r="B30" s="4" t="s">
        <v>151</v>
      </c>
      <c r="C30" s="3" t="s">
        <v>147</v>
      </c>
      <c r="D30" s="3" t="s">
        <v>22</v>
      </c>
      <c r="E30" s="3" t="s">
        <v>38</v>
      </c>
      <c r="F30" s="3" t="s">
        <v>16</v>
      </c>
      <c r="G30" s="3" t="s">
        <v>152</v>
      </c>
      <c r="H30" s="3"/>
      <c r="I30" s="3" t="s">
        <v>153</v>
      </c>
      <c r="J30" s="5"/>
      <c r="K30" s="5" t="s">
        <v>20</v>
      </c>
      <c r="L30" s="5"/>
    </row>
    <row r="31" customFormat="false" ht="150" hidden="false" customHeight="true" outlineLevel="0" collapsed="false">
      <c r="A31" s="3" t="n">
        <v>30</v>
      </c>
      <c r="B31" s="4" t="s">
        <v>154</v>
      </c>
      <c r="C31" s="3" t="s">
        <v>155</v>
      </c>
      <c r="D31" s="3" t="s">
        <v>156</v>
      </c>
      <c r="E31" s="3" t="s">
        <v>157</v>
      </c>
      <c r="F31" s="3" t="s">
        <v>16</v>
      </c>
      <c r="G31" s="3" t="s">
        <v>158</v>
      </c>
      <c r="H31" s="3" t="s">
        <v>159</v>
      </c>
      <c r="I31" s="3" t="s">
        <v>160</v>
      </c>
      <c r="J31" s="5"/>
      <c r="K31" s="5" t="s">
        <v>20</v>
      </c>
      <c r="L31" s="5"/>
    </row>
    <row r="32" customFormat="false" ht="150" hidden="false" customHeight="true" outlineLevel="0" collapsed="false">
      <c r="A32" s="3" t="n">
        <v>31</v>
      </c>
      <c r="B32" s="4" t="s">
        <v>161</v>
      </c>
      <c r="C32" s="3" t="s">
        <v>155</v>
      </c>
      <c r="D32" s="3" t="s">
        <v>156</v>
      </c>
      <c r="E32" s="3" t="s">
        <v>157</v>
      </c>
      <c r="F32" s="3" t="s">
        <v>44</v>
      </c>
      <c r="G32" s="3" t="s">
        <v>162</v>
      </c>
      <c r="H32" s="3" t="s">
        <v>163</v>
      </c>
      <c r="I32" s="3" t="s">
        <v>164</v>
      </c>
      <c r="J32" s="5"/>
      <c r="K32" s="5" t="s">
        <v>20</v>
      </c>
      <c r="L32" s="5" t="s">
        <v>165</v>
      </c>
    </row>
  </sheetData>
  <autoFilter ref="A1:L32"/>
  <conditionalFormatting sqref="K2:K32">
    <cfRule type="expression" priority="2" aboveAverage="0" equalAverage="0" bottom="0" percent="0" rank="0" text="" dxfId="6">
      <formula>$K2="Processed"</formula>
    </cfRule>
    <cfRule type="expression" priority="3" aboveAverage="0" equalAverage="0" bottom="0" percent="0" rank="0" text="" dxfId="7">
      <formula>$K2="Generated"</formula>
    </cfRule>
    <cfRule type="expression" priority="4" aboveAverage="0" equalAverage="0" bottom="0" percent="0" rank="0" text="" dxfId="8">
      <formula>$K2="In progress"</formula>
    </cfRule>
    <cfRule type="expression" priority="5" aboveAverage="0" equalAverage="0" bottom="0" percent="0" rank="0" text="" dxfId="9">
      <formula>$K2="Needs redo"</formula>
    </cfRule>
  </conditionalFormatting>
  <dataValidations count="1">
    <dataValidation allowBlank="true" errorStyle="stop" operator="between" showDropDown="false" showErrorMessage="false" showInputMessage="false" sqref="K2:K32" type="list">
      <formula1>"To do,In progress,Generated,Processed,Needs redo"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0"/>
  </cols>
  <sheetData>
    <row r="1" customFormat="false" ht="17.25" hidden="false" customHeight="true" outlineLevel="0" collapsed="false">
      <c r="A1" s="6" t="s">
        <v>166</v>
      </c>
    </row>
    <row r="2" customFormat="false" ht="15" hidden="false" customHeight="true" outlineLevel="0" collapsed="false">
      <c r="A2" s="7"/>
    </row>
    <row r="3" customFormat="false" ht="15" hidden="false" customHeight="true" outlineLevel="0" collapsed="false">
      <c r="A3" s="7" t="s">
        <v>167</v>
      </c>
    </row>
    <row r="4" customFormat="false" ht="15" hidden="false" customHeight="true" outlineLevel="0" collapsed="false">
      <c r="A4" s="7" t="s">
        <v>168</v>
      </c>
    </row>
    <row r="5" customFormat="false" ht="15" hidden="false" customHeight="true" outlineLevel="0" collapsed="false">
      <c r="A5" s="7" t="s">
        <v>169</v>
      </c>
    </row>
    <row r="6" customFormat="false" ht="15" hidden="false" customHeight="true" outlineLevel="0" collapsed="false">
      <c r="A6" s="7" t="s">
        <v>170</v>
      </c>
    </row>
    <row r="7" customFormat="false" ht="15" hidden="false" customHeight="true" outlineLevel="0" collapsed="false">
      <c r="A7" s="7" t="s">
        <v>171</v>
      </c>
    </row>
    <row r="8" customFormat="false" ht="15" hidden="false" customHeight="true" outlineLevel="0" collapsed="false">
      <c r="A8" s="7"/>
    </row>
    <row r="9" customFormat="false" ht="15" hidden="false" customHeight="true" outlineLevel="0" collapsed="false">
      <c r="A9" s="8" t="s">
        <v>172</v>
      </c>
    </row>
    <row r="10" customFormat="false" ht="15" hidden="false" customHeight="true" outlineLevel="0" collapsed="false">
      <c r="A10" s="7" t="s">
        <v>173</v>
      </c>
    </row>
    <row r="11" customFormat="false" ht="15" hidden="false" customHeight="true" outlineLevel="0" collapsed="false">
      <c r="A11" s="7" t="s">
        <v>174</v>
      </c>
    </row>
    <row r="12" customFormat="false" ht="15" hidden="false" customHeight="true" outlineLevel="0" collapsed="false">
      <c r="A12" s="7" t="s">
        <v>175</v>
      </c>
    </row>
    <row r="13" customFormat="false" ht="15" hidden="false" customHeight="true" outlineLevel="0" collapsed="false">
      <c r="A13" s="7"/>
    </row>
    <row r="14" customFormat="false" ht="15" hidden="false" customHeight="true" outlineLevel="0" collapsed="false">
      <c r="A14" s="8" t="s">
        <v>176</v>
      </c>
    </row>
    <row r="15" customFormat="false" ht="15" hidden="false" customHeight="true" outlineLevel="0" collapsed="false">
      <c r="A15" s="7"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s>
  <sheetData>
    <row r="1" customFormat="false" ht="17.25" hidden="false" customHeight="true" outlineLevel="0" collapsed="false">
      <c r="A1" s="6" t="s">
        <v>178</v>
      </c>
    </row>
    <row r="3" customFormat="false" ht="15" hidden="false" customHeight="true" outlineLevel="0" collapsed="false">
      <c r="A3" s="8" t="s">
        <v>179</v>
      </c>
      <c r="B3" s="7" t="n">
        <f aca="false">COUNTA(Prompts!B2:B32)</f>
        <v>31</v>
      </c>
    </row>
    <row r="4" customFormat="false" ht="15" hidden="false" customHeight="true" outlineLevel="0" collapsed="false">
      <c r="A4" s="8" t="s">
        <v>16</v>
      </c>
      <c r="B4" s="7" t="n">
        <f aca="false">COUNTIF(Prompts!F2:F32,"Must")</f>
        <v>26</v>
      </c>
    </row>
    <row r="5" customFormat="false" ht="15" hidden="false" customHeight="true" outlineLevel="0" collapsed="false">
      <c r="A5" s="8" t="s">
        <v>44</v>
      </c>
      <c r="B5" s="7" t="n">
        <f aca="false">COUNTIF(Prompts!F2:F32,"Nice")</f>
        <v>5</v>
      </c>
    </row>
    <row r="6" customFormat="false" ht="15" hidden="false" customHeight="true" outlineLevel="0" collapsed="false">
      <c r="A6" s="8" t="s">
        <v>180</v>
      </c>
      <c r="B6" s="7" t="n">
        <f aca="false">COUNTIF(Prompts!K2:K32,"To do")</f>
        <v>0</v>
      </c>
    </row>
    <row r="7" customFormat="false" ht="15" hidden="false" customHeight="true" outlineLevel="0" collapsed="false">
      <c r="A7" s="8" t="s">
        <v>181</v>
      </c>
      <c r="B7" s="7" t="n">
        <f aca="false">COUNTIF(Prompts!K2:K32,"In progress")</f>
        <v>0</v>
      </c>
    </row>
    <row r="8" customFormat="false" ht="15" hidden="false" customHeight="true" outlineLevel="0" collapsed="false">
      <c r="A8" s="8" t="s">
        <v>182</v>
      </c>
      <c r="B8" s="7" t="n">
        <f aca="false">COUNTIF(Prompts!K2:K32,"Generated")</f>
        <v>0</v>
      </c>
    </row>
    <row r="9" customFormat="false" ht="15" hidden="false" customHeight="true" outlineLevel="0" collapsed="false">
      <c r="A9" s="8" t="s">
        <v>20</v>
      </c>
      <c r="B9" s="7" t="n">
        <f aca="false">COUNTIF(Prompts!K2:K32,"Processed")</f>
        <v>30</v>
      </c>
    </row>
    <row r="10" customFormat="false" ht="15" hidden="false" customHeight="true" outlineLevel="0" collapsed="false">
      <c r="A10" s="8" t="s">
        <v>107</v>
      </c>
      <c r="B10" s="7" t="n">
        <f aca="false">COUNTIF(Prompts!K2:K32,"Needs redo")</f>
        <v>1</v>
      </c>
    </row>
    <row r="11" customFormat="false" ht="15" hidden="false" customHeight="true" outlineLevel="0" collapsed="false">
      <c r="A11" s="8" t="s">
        <v>183</v>
      </c>
      <c r="B11" s="7" t="n">
        <f aca="false">COUNTIFS(Prompts!F2:F32,"Must",Prompts!K2:K32,"&lt;&gt;Processed")</f>
        <v>1</v>
      </c>
    </row>
    <row r="12" customFormat="false" ht="15" hidden="false" customHeight="true" outlineLevel="0" collapsed="false">
      <c r="A12" s="8" t="s">
        <v>184</v>
      </c>
      <c r="B12" s="9" t="n">
        <f aca="false">IF(B3=0,0,B9/B3)</f>
        <v>0.967741935483871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3" min="2" style="1" width="12"/>
  </cols>
  <sheetData>
    <row r="1" customFormat="false" ht="15" hidden="false" customHeight="true" outlineLevel="0" collapsed="false">
      <c r="A1" s="10" t="s">
        <v>185</v>
      </c>
      <c r="B1" s="10" t="s">
        <v>186</v>
      </c>
      <c r="C1" s="10" t="s">
        <v>187</v>
      </c>
    </row>
    <row r="2" customFormat="false" ht="15" hidden="false" customHeight="true" outlineLevel="0" collapsed="false">
      <c r="A2" s="7" t="s">
        <v>188</v>
      </c>
      <c r="B2" s="7" t="s">
        <v>189</v>
      </c>
      <c r="C2" s="11"/>
    </row>
    <row r="3" customFormat="false" ht="15" hidden="false" customHeight="true" outlineLevel="0" collapsed="false">
      <c r="A3" s="7" t="s">
        <v>190</v>
      </c>
      <c r="B3" s="7" t="s">
        <v>191</v>
      </c>
      <c r="C3" s="12"/>
    </row>
    <row r="4" customFormat="false" ht="15" hidden="false" customHeight="true" outlineLevel="0" collapsed="false">
      <c r="A4" s="7" t="s">
        <v>192</v>
      </c>
      <c r="B4" s="7" t="s">
        <v>193</v>
      </c>
      <c r="C4" s="13"/>
    </row>
    <row r="5" customFormat="false" ht="15" hidden="false" customHeight="true" outlineLevel="0" collapsed="false">
      <c r="A5" s="7" t="s">
        <v>194</v>
      </c>
      <c r="B5" s="7" t="s">
        <v>195</v>
      </c>
      <c r="C5" s="14"/>
    </row>
    <row r="6" customFormat="false" ht="15" hidden="false" customHeight="true" outlineLevel="0" collapsed="false">
      <c r="A6" s="7" t="s">
        <v>196</v>
      </c>
      <c r="B6" s="7" t="s">
        <v>197</v>
      </c>
      <c r="C6" s="15"/>
    </row>
    <row r="7" customFormat="false" ht="15" hidden="false" customHeight="true" outlineLevel="0" collapsed="false">
      <c r="A7" s="7" t="s">
        <v>198</v>
      </c>
      <c r="B7" s="7" t="s">
        <v>199</v>
      </c>
      <c r="C7" s="16"/>
    </row>
    <row r="8" customFormat="false" ht="15" hidden="false" customHeight="true" outlineLevel="0" collapsed="false">
      <c r="A8" s="7" t="s">
        <v>200</v>
      </c>
      <c r="B8" s="7" t="s">
        <v>201</v>
      </c>
      <c r="C8" s="17"/>
    </row>
    <row r="9" customFormat="false" ht="15" hidden="false" customHeight="true" outlineLevel="0" collapsed="false">
      <c r="A9" s="7" t="s">
        <v>202</v>
      </c>
      <c r="B9" s="7" t="s">
        <v>203</v>
      </c>
      <c r="C9" s="18"/>
    </row>
    <row r="10" customFormat="false" ht="15" hidden="false" customHeight="true" outlineLevel="0" collapsed="false">
      <c r="A10" s="7" t="s">
        <v>204</v>
      </c>
      <c r="B10" s="7" t="s">
        <v>205</v>
      </c>
      <c r="C10" s="19"/>
    </row>
    <row r="11" customFormat="false" ht="15" hidden="false" customHeight="true" outlineLevel="0" collapsed="false">
      <c r="A11" s="7" t="s">
        <v>206</v>
      </c>
      <c r="B11" s="7" t="s">
        <v>207</v>
      </c>
      <c r="C11" s="20"/>
    </row>
    <row r="12" customFormat="false" ht="15" hidden="false" customHeight="true" outlineLevel="0" collapsed="false">
      <c r="A12" s="7" t="s">
        <v>208</v>
      </c>
      <c r="B12" s="7" t="s">
        <v>209</v>
      </c>
      <c r="C12" s="21"/>
    </row>
    <row r="13" customFormat="false" ht="15" hidden="false" customHeight="true" outlineLevel="0" collapsed="false">
      <c r="A13" s="7" t="s">
        <v>210</v>
      </c>
      <c r="B13" s="7" t="s">
        <v>211</v>
      </c>
      <c r="C13" s="22"/>
    </row>
    <row r="14" customFormat="false" ht="15" hidden="false" customHeight="true" outlineLevel="0" collapsed="false">
      <c r="A14" s="7" t="s">
        <v>212</v>
      </c>
      <c r="B14" s="7" t="s">
        <v>213</v>
      </c>
      <c r="C14" s="23"/>
    </row>
    <row r="15" customFormat="false" ht="15" hidden="false" customHeight="true" outlineLevel="0" collapsed="false">
      <c r="A15" s="7" t="s">
        <v>214</v>
      </c>
      <c r="B15" s="7" t="s">
        <v>215</v>
      </c>
      <c r="C15" s="24"/>
    </row>
    <row r="16" customFormat="false" ht="15" hidden="false" customHeight="true" outlineLevel="0" collapsed="false">
      <c r="A16" s="7" t="s">
        <v>216</v>
      </c>
      <c r="B16" s="7" t="s">
        <v>217</v>
      </c>
      <c r="C16" s="25"/>
    </row>
    <row r="17" customFormat="false" ht="15" hidden="false" customHeight="true" outlineLevel="0" collapsed="false">
      <c r="A17" s="7" t="s">
        <v>218</v>
      </c>
      <c r="B17" s="7" t="s">
        <v>219</v>
      </c>
      <c r="C17" s="26"/>
    </row>
    <row r="19" customFormat="false" ht="15" hidden="false" customHeight="true" outlineLevel="0" collapsed="false">
      <c r="A19" s="27" t="s">
        <v>220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2026-10-21T13:41:35Z</dcterms:created>
  <dc:creator>openpyxl</dc:creator>
  <dc:description/>
  <dc:language>en-US</dc:language>
  <cp:lastModifiedBy/>
  <dcterms:modified xsi:type="dcterms:W3CDTF">2026-10-21T19:09:13Z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