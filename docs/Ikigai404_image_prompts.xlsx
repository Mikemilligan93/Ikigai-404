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sheetId="1" state="visible" r:id="rId3"/>
    <sheet name="Prompts" sheetId="2" state="visible" r:id="rId4"/>
    <sheet name="Progress" sheetId="3" state="visible" r:id="rId5"/>
    <sheet name="Palette" sheetId="4" state="visible" r:id="rId6"/>
  </sheets>
  <definedNames>
    <definedName function="false" hidden="true" localSheetId="1" name="_xlnm._FilterDatabase" vbProcedure="false">Prompts!$A$1:$L$35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<sst xmlns="http://schemas.openxmlformats.org/spreadsheetml/2006/main" count="364" uniqueCount="176">
  <si>
    <t xml:space="preserve">Ikigai 404 — image generation tasks (8-bit pixel style)</t>
  </si>
  <si>
    <t xml:space="preserve">Each row on the "Prompts" tab is one image for ChatGPT. Pick a row, put your name in Assignee, and set the Status as you go.</t>
  </si>
  <si>
    <t xml:space="preserve">Steps</t>
  </si>
  <si>
    <t xml:space="preserve">1. Do the "Before pasting" step if there is one (usually: attach player_ok.png).</t>
  </si>
  <si>
    <t xml:space="preserve">2. Copy the whole Prompt cell into ChatGPT as one message.</t>
  </si>
  <si>
    <t xml:space="preserve">3. Check the result: flat magenta background, exactly the grid in the "Grid" column, chunky pixels. Use the fix-up replies below if not.</t>
  </si>
  <si>
    <t xml:space="preserve">4. Save the image with EXACTLY the name in the "File name" column and give it to the product owner (or drop it into assets/img).</t>
  </si>
  <si>
    <t xml:space="preserve">5. Set Status to "Delivered". The product owner runs python3 tools/process_art.py and sets "In game" or "Needs redo".</t>
  </si>
  <si>
    <t xml:space="preserve">Order</t>
  </si>
  <si>
    <t xml:space="preserve">Batch 1 first: player_ok.png is the reference for every other bunny image. Batch 2 needs player_ok.png attached. Everything else can be done in parallel.</t>
  </si>
  <si>
    <t xml:space="preserve">Make all prop sheets in ONE ChatGPT chat (one after the other) so they share a style. Same for the two tile sheets.</t>
  </si>
  <si>
    <t xml:space="preserve">Fix-up replies (paste into ChatGPT when needed)</t>
  </si>
  <si>
    <t xml:space="preserve">Background not flat:  The background must be one flat pure magenta colour (#FF00FF), no shading, no floor, no checkerboard. Please output it again.</t>
  </si>
  <si>
    <t xml:space="preserve">Wrong grid:  Please redo it with exactly N columns and M rows, evenly spaced, with wide magenta gaps between cells.  (use the numbers from the Grid column)</t>
  </si>
  <si>
    <t xml:space="preserve">Too smooth:  Make it much lower resolution, real chunky pixel art with big visible square pixels and no anti-aliasing.</t>
  </si>
  <si>
    <t xml:space="preserve">Character drifted:  Keep the character identical to the attached sprite sheet — same colours, proportions and outfit.</t>
  </si>
  <si>
    <t xml:space="preserve">Columns to fill in (yellow on the Prompts tab)</t>
  </si>
  <si>
    <t xml:space="preserve">Assignee — your name.   Status — pick from the list.   Comments — anything odd (e.g. "ChatGPT keeps making 4 rows").</t>
  </si>
  <si>
    <t xml:space="preserve">Example:  Assignee = Anna   ·   Status = Delivered   ·   Comments = 2nd try, first had a checkerboard background</t>
  </si>
  <si>
    <t xml:space="preserve">#</t>
  </si>
  <si>
    <t xml:space="preserve">Batch</t>
  </si>
  <si>
    <t xml:space="preserve">Group</t>
  </si>
  <si>
    <t xml:space="preserve">File name</t>
  </si>
  <si>
    <t xml:space="preserve">Grid (cols × rows)</t>
  </si>
  <si>
    <t xml:space="preserve">Frame size (px)</t>
  </si>
  <si>
    <t xml:space="preserve">Image size</t>
  </si>
  <si>
    <t xml:space="preserve">Before pasting</t>
  </si>
  <si>
    <t xml:space="preserve">Prompt (copy the whole cell)</t>
  </si>
  <si>
    <t xml:space="preserve">Assignee</t>
  </si>
  <si>
    <t xml:space="preserve">Status</t>
  </si>
  <si>
    <t xml:space="preserve">Comments</t>
  </si>
  <si>
    <t xml:space="preserve">1</t>
  </si>
  <si>
    <t xml:space="preserve">Player</t>
  </si>
  <si>
    <t xml:space="preserve">player_ok.png</t>
  </si>
  <si>
    <t xml:space="preserve">3 × 3</t>
  </si>
  <si>
    <t xml:space="preserve">32×32</t>
  </si>
  <si>
    <t xml:space="preserve">Square image, 1024×1024</t>
  </si>
  <si>
    <t xml:space="preserve">Generate this first. It is the reference for every other bunny image.</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</si>
  <si>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main character: a burnt-out white rabbit office worker with long upright ears (soft pink inside), tired half-closed eyes with red rims, a navy-blue suit, white shirt, vermilion tie and brown shoes, carrying a brown leather briefcase. Mood: tired but holding on, ears up, standing straight.
Layout: a sprite sheet on a solid flat magenta background (#FF00FF, one single pure colour, no shading, no checkerboard). An evenly spaced grid of 3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(towards the viewer): left foot forward | standing still | right foot forward
- Row 2: facing LEFT (side profile): left foot forward | standing still | right foot forward
- Row 3: facing UP (back to the viewer): left foot forward | standing still | right foot forward
Output: PNG, Square image, 1024×1024.</t>
  </si>
  <si>
    <t xml:space="preserve">To do</t>
  </si>
  <si>
    <t xml:space="preserve">2</t>
  </si>
  <si>
    <t xml:space="preserve">player_tired.png</t>
  </si>
  <si>
    <t xml:space="preserve">Attach player_ok.png and add: "Keep the character identical to the attached sprite sheet, only change the posture."</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</si>
  <si>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main character: a burnt-out white rabbit office worker with long upright ears (soft pink inside), tired half-closed eyes with red rims, a navy-blue suit, white shirt, vermilion tie and brown shoes, carrying a brown leather briefcase. Mood: tired — shoulders slumped, one ear drooping, tie loosened, briefcase hanging low.
Layout: a sprite sheet on a solid flat magenta background (#FF00FF, one single pure colour, no shading, no checkerboard). An evenly spaced grid of 3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(towards the viewer): left foot forward | standing still | right foot forward
- Row 2: facing LEFT (side profile): left foot forward | standing still | right foot forward
- Row 3: facing UP (back to the viewer): left foot forward | standing still | right foot forward
Output: PNG, Square image, 1024×1024.</t>
  </si>
  <si>
    <t xml:space="preserve">player_burnt.png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</si>
  <si>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main character: a burnt-out white rabbit office worker with long upright ears (soft pink inside), tired half-closed eyes with red rims, a navy-blue suit, white shirt, vermilion tie and brown shoes, carrying a brown leather briefcase. Mood: nearly burnt out — hunched, both ears flopped down, briefcase dragging, small grey smoke wisps above his head.
Layout: a sprite sheet on a solid flat magenta background (#FF00FF, one single pure colour, no shading, no checkerboard). An evenly spaced grid of 3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(towards the viewer): left foot forward | standing still | right foot forward
- Row 2: facing LEFT (side profile): left foot forward | standing still | right foot forward
- Row 3: facing UP (back to the viewer): left foot forward | standing still | right foot forward
Output: PNG, Square image, 1024×1024.</t>
  </si>
  <si>
    <t xml:space="preserve">player_actions.png</t>
  </si>
  <si>
    <t xml:space="preserve">Attach player_ok.png and add: "Keep the character identical to the attached sprite sheet."</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</si>
  <si>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main character: a burnt-out white rabbit office worker with long upright ears (soft pink inside), tired half-closed eyes with red rims, a navy-blue suit, white shirt, vermilion tie and brown shoes, carrying a brown leather briefcase. Action poses.
Layout: a sprite sheet on a solid flat magenta background (#FF00FF, one single pure colour, no shading, no checkerboard). An evenly spaced grid of 3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winding up a briefcase swing (briefcase raised behind) | briefcase swung hard forward | throwing a crumpled paper ball forward
- Row 2: facing LEFT: winding up a briefcase swing | briefcase swung hard forward | throwing a crumpled paper ball forward
- Row 3: facing UP (back to viewer): winding up a briefcase swing | briefcase swung hard forward | throwing a crumpled paper ball forward
Output: PNG, Square image, 1024×1024.</t>
  </si>
  <si>
    <t xml:space="preserve">player_side.png</t>
  </si>
  <si>
    <t xml:space="preserve">4 × 2</t>
  </si>
  <si>
    <t xml:space="preserve">32×48</t>
  </si>
  <si>
    <t xml:space="preserve">Wide landscape image, 1536×1024</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</si>
  <si>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like a 2D side-scrolling game; every figure stands on the bottom edge of its cell.
Subject: The main character in side view, for the intro: a burnt-out white rabbit office worker with long upright ears (soft pink inside), tired half-closed eyes with red rims, a navy-blue suit, white shirt, vermilion tie and brown shoes, carrying a brown leather briefcase.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32×48 pixel-art resolution, so each pixel is a big visible square block. No grid lines, borders, labels or numbers. Never use magenta or purple on the subjects themselves.
Cells, left to right, top to bottom:
- Row 1: walking to the RIGHT, four frames of one walk cycle (contact | passing | contact other foot | passing)
- Row 2: lying curled up asleep on his side | sitting up startled with sweat drops | shaking himself awake, ears flapping | standing upright facing right, weary
Output: PNG, Wide landscape image, 1536×1024.</t>
  </si>
  <si>
    <t xml:space="preserve">player_portrait.png</t>
  </si>
  <si>
    <t xml:space="preserve">2 × 1</t>
  </si>
  <si>
    <t xml:space="preserve">64×64</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</si>
  <si>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chest-up character portrait, three-quarter view, like a dialogue portrait in a Japanese RPG.
Subject: Portrait of the main character: a burnt-out white rabbit office worker with long upright ears (soft pink inside), tired half-closed eyes with red rims, a navy-blue suit, white shirt, vermilion tie and brown shoes, carrying a brown leather briefcase. He faces to the right. Weary, slightly sarcastic expression. Head, shoulders and chest only.
Layout: a sprite sheet on a solid flat magenta background (#FF00FF, one single pure colour, no shading, no checkerboard). An evenly spaced grid of 2 columns and 1 row of equal-sized cells with wide plain magenta gaps between the cells. Every cell shows the exact same character (same design, same colours, same size), centred in its cell, feet on the same baseline. Draw each cell at about 64×64 pixel-art resolution, so each pixel is a big visible square block. No grid lines, borders, labels or numbers. Never use magenta or purple on the subjects themselves.
Cells, left to right, top to bottom:
- Row 1: mouth closed | mouth open (talking), otherwise identical
Output: PNG, Wide landscape image, 1536×1024.</t>
  </si>
  <si>
    <t xml:space="preserve">3</t>
  </si>
  <si>
    <t xml:space="preserve">Bosses</t>
  </si>
  <si>
    <t xml:space="preserve">boss_ceo.png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</si>
  <si>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CEO: a huge, menacing red-and-gold Japanese dragon wearing an expensive black pinstripe business suit with a gold tie and gold cufflinks, long whiskers, smug expression. Coiled, wings half spread, facing the viewer.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64×64 pixel-art resolution, so each pixel is a big visible square block. No grid lines, borders, labels or numbers. Never use magenta or purple on the subjects themselves.
Cells, left to right, top to bottom:
- Row 1: idle A | idle B (breathing, slightly raised) | breathing fire forward | hurt (recoiling, eyes squeezed shut)
- Row 2: enraged: idle A, eyes glowing, suit torn | enraged idle B | enraged roar, smoke from nostrils | defeated, slumped on the floor
Output: PNG, Wide landscape image, 1536×1024.</t>
  </si>
  <si>
    <t xml:space="preserve">Minibosses</t>
  </si>
  <si>
    <t xml:space="preserve">miniboss_printer.png</t>
  </si>
  <si>
    <t xml:space="preserve">4 × 1</t>
  </si>
  <si>
    <t xml:space="preserve">48×48</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</si>
  <si>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monstrous beige 1990s office laser printer possessed like a Japanese yōkai: paper spewing from its slot like a long tongue, glowing angry eyes on the control panel, small stubby legs.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48×48 pixel-art resolution, so each pixel is a big visible square block. No grid lines, borders, labels or numbers. Never use magenta or purple on the subjects themselves.
Cells, left to right, top to bottom:
- Row 1: idle A | idle B (slightly bigger, shaking) | attacking / spitting out minions | hurt (flashing, tilted)
Output: PNG, Wide landscape image, 1536×1024.</t>
  </si>
  <si>
    <t xml:space="preserve">miniboss_coffee.png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</si>
  <si>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broken office coffee machine possessed like a Japanese yōkai: black coffee leaking, steam rising like oni horns, a cracked glass coffee pot, glowing angry eyes.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48×48 pixel-art resolution, so each pixel is a big visible square block. No grid lines, borders, labels or numbers. Never use magenta or purple on the subjects themselves.
Cells, left to right, top to bottom:
- Row 1: idle A | idle B (slightly bigger, shaking) | attacking / spitting out minions | hurt (flashing, tilted)
Output: PNG, Wide landscape image, 1536×1024.</t>
  </si>
  <si>
    <t xml:space="preserve">miniboss_fax.png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</si>
  <si>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haunted 1990s fax machine possessed like a Japanese yōkai: ghostly paper streamers floating around it, a curly phone cord as a tail, glowing angry eyes.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48×48 pixel-art resolution, so each pixel is a big visible square block. No grid lines, borders, labels or numbers. Never use magenta or purple on the subjects themselves.
Cells, left to right, top to bottom:
- Row 1: idle A | idle B (slightly bigger, shaking) | attacking / spitting out minions | hurt (flashing, tilted)
Output: PNG, Wide landscape image, 1536×1024.</t>
  </si>
  <si>
    <t xml:space="preserve">Minions</t>
  </si>
  <si>
    <t xml:space="preserve">enemy_weak.png</t>
  </si>
  <si>
    <t xml:space="preserve">24×24</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</si>
  <si>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small angry flying envelope (an email) with tiny bat wings, angry eyebrows and a red wax seal with an @ symbol.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24×24 pixel-art resolution, so each pixel is a big visible square block. No grid lines, borders, labels or numbers. Never use magenta or purple on the subjects themselves.
Cells, left to right, top to bottom:
- Row 1: wings up | wings level | wings down | hit (squashed, little stars)
Output: PNG, Wide landscape image, 1536×1024.</t>
  </si>
  <si>
    <t xml:space="preserve">enemy_strong.png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</si>
  <si>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hulking, angry scroll-shaped creature representing an URGENT work request, covered in red hanko stamp marks (symbols only, no readable text), angry eyes and clenched little fists.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step A | standing | step B | punching forward
- Row 2: facing LEFT: step A | standing | step B | hurt (recoiling)
Output: PNG, Wide landscape image, 1536×1024.</t>
  </si>
  <si>
    <t xml:space="preserve">Colleagues</t>
  </si>
  <si>
    <t xml:space="preserve">npc_motivator.png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</si>
  <si>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cheerful monkey office colleague in a white shirt on a rolling office chair, surrounded by a soft golden glow.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(bouncing) | big thumbs up | cheering with both arms up
Output: PNG, Wide landscape image, 1536×1024.</t>
  </si>
  <si>
    <t xml:space="preserve">npc_mentor.png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</si>
  <si>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wise old tortoise office colleague with round reading glasses, a cardigan and a neat stack of documents.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(nodding) | handing over a document | stroking chin, thinking
Output: PNG, Wide landscape image, 1536×1024.</t>
  </si>
  <si>
    <t xml:space="preserve">npc_complainer.png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</si>
  <si>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grumpy frog office colleague with arms crossed and a small dark rain cloud above his head.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(rain falling from the cloud) | complaining with mouth wide open | sighing, slumped
Output: PNG, Wide landscape image, 1536×1024.</t>
  </si>
  <si>
    <t xml:space="preserve">npc_meetinger.png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</si>
  <si>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An overly eager fox office colleague holding a calendar and a whiteboard marker.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(tapping foot) | pointing at an invisible meeting invite | waving the calendar excitedly
Output: PNG, Wide landscape image, 1536×1024.</t>
  </si>
  <si>
    <t xml:space="preserve">npc_inspector.png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</si>
  <si>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like a 2D side-scrolling game; every figure stands on the bottom edge of its cell.
Subject: A smug crow metro ticket inspector in a stiff dark-blue uniform with a peaked cap, holding a ticket punch, facing to the LEFT.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32×48 pixel-art resolution, so each pixel is a big visible square block. No grid lines, borders, labels or numbers. Never use magenta or purple on the subjects themselves.
Cells, left to right, top to bottom:
- Row 1: idle A, chin raised | idle B | punching a ticket | talking with beak open, pointing
Output: PNG, Wide landscape image, 1536×1024.</t>
  </si>
  <si>
    <t xml:space="preserve">Tiles</t>
  </si>
  <si>
    <t xml:space="preserve">tiles_floor.png</t>
  </si>
  <si>
    <t xml:space="preserve">4 × 4</t>
  </si>
  <si>
    <t xml:space="preserve">16×16</t>
  </si>
  <si>
    <t xml:space="preserve">Do all sheets of this group in the same ChatGPT chat.</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</si>
  <si>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seen from directly above, completely flat.
Subject: Floor tiles for the different zones of a 1990s Japanese office.
Layout: a sprite sheet on a solid flat magenta background (#FF00FF, one single pure colour, no shading, no checkerboard). An evenly spaced grid of 4 columns and 4 rows of equal-sized cells with wide plain magenta gaps between the cells. Each cell is one square FLOOR TILE drawn at 16×16 pixel-art resolution (each pixel a big visible block), filling its whole cell, seen from directly above, and tiling seamlessly with itself (left edge continues into right, top into bottom). Tiles in the same row belong together and must also fit next to each other. Low contrast so characters stand out. No grid lines, borders, labels or numbers. Never use magenta or purple on the subjects themselves.
Cells, left to right, top to bottom:
- Row 1: open-plan office carpet, muted celadon green: plain | small seigaiha wave pattern | worn spot | coffee stain
- Row 2: manager's corner tatami mats: plain tatami | tatami with dark border | tatami turned 90° | tatami with a cushion mark
- Row 3: kitchen floor: cream-and-indigo checker tiles | plain cream tiles | wet spot | crumbs
- Row 4: archive and server room: grey metal raised floor panel | grey concrete | floor cable cover | indigo rug with gold border
Output: PNG, Square image, 1024×1024.</t>
  </si>
  <si>
    <t xml:space="preserve">tiles_wall.png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</si>
  <si>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Wall and partition tiles for a 1990s Japanese office.
Layout: a sprite sheet on a solid flat magenta background (#FF00FF, one single pure colour, no shading, no checkerboard). An evenly spaced grid of 4 columns and 4 rows of equal-sized cells with wide plain magenta gaps between the cells. Each cell is one square WALL or PARTITION tile drawn at 16×16 pixel-art resolution (each pixel a big visible block), filling its whole cell, in the three-quarter top-down view. Neighbouring wall tiles must line up edge to edge. No grid lines, borders, labels or numbers. Never use magenta or purple on the subjects themselves.
Cells, left to right, top to bottom:
- Row 1: wall faces: plain cream wall | wall with a night-sky window | wall with a dawn window | wall with a hanging ink-painting scroll (mountains, no writing)
- Row 2: wall faces: closed wooden door | doorway with an indigo noren curtain | shoji paper screen | cork notice board with pinned papers (no readable text)
- Row 3: grey fabric cubicle partition: horizontal piece | vertical piece | corner piece | end piece
- Row 4: wall tops: wall top cap (seen from above) | top inner corner | top outer corner | square pillar
Output: PNG, Square image, 1024×1024.</t>
  </si>
  <si>
    <t xml:space="preserve">Office props</t>
  </si>
  <si>
    <t xml:space="preserve">props_cubicles_a.png</t>
  </si>
  <si>
    <t xml:space="preserve">3 × 2</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</si>
  <si>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Six different single office cubicles (desk, grey partition, rolling chair, beige CRT monitor), each with a distinct personality.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tidy salaryman cubicle with neatly aligned folders | messy cubicle with a paper avalanche | overtime cubicle with a pillow under the desk and instant-ramen cups
- Row 2: plant-lover cubicle with a bonsai and a maneki-neko | empty cubicle with moving boxes (someone quit) | lucky cubicle with a red daruma and paper charms
Output: PNG, Wide landscape image, 1536×1024.</t>
  </si>
  <si>
    <t xml:space="preserve">props_cubicles_b.png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</si>
  <si>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Six more office workplaces, same scale and style as a set.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two desks pushed together facing each other (Japanese island desks) | tiny intern desk with a single stool | caffeine addict desk covered in coffee cans
- Row 2: desk buried in sticky notes | THE PLAYER'S OWN DESK: messy, beige CRT monitor, cold coffee, a little rabbit figurine | the same player's desk with the monitor glowing bright gold (new email)
Output: PNG, Wide landscape image, 1536×1024.</t>
  </si>
  <si>
    <t xml:space="preserve">props_manager.png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</si>
  <si>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Furniture for the manager's corner.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large dark wooden manager desk | high-backed leather chair | big bonsai on a stand
- Row 2: golden maneki-neko statue | trophy shelf with golden cups | small koi aquarium
Output: PNG, Wide landscape image, 1536×1024.</t>
  </si>
  <si>
    <t xml:space="preserve">props_kitchen.png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</si>
  <si>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Furniture for the office kitchen / break area.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friendly working coffee machine with a warm golden glow and a steaming cup | water cooler with a big blue bottle | small fridge covered in magnets
- Row 2: low kitchen table with two chairs, teapot and cups | drinks vending machine | counter with a rice cooker and an electric kettle
Output: PNG, Wide landscape image, 1536×1024.</t>
  </si>
  <si>
    <t xml:space="preserve">props_archive.png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</si>
  <si>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Furniture for the archive / print room.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ordinary harmless beige office printer | ordinary fax machine | paper shredder with shreds
- Row 2: grey metal filing cabinets | tall shelf full of binders | stack of cardboard archive boxes
Output: PNG, Wide landscape image, 1536×1024.</t>
  </si>
  <si>
    <t xml:space="preserve">props_meeting.png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</si>
  <si>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Furniture for the meeting room.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long meeting table seen from above-front | office chair | whiteboard with scribbled arrows and boxes (no text)
- Row 2: overhead projector on a cart | wall clock on a stand | tall potted plant
Output: PNG, Wide landscape image, 1536×1024.</t>
  </si>
  <si>
    <t xml:space="preserve">props_server.png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</si>
  <si>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Equipment for the server closet.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server rack with tiny green and red lights | server rack with an open door and cables | tangle of cables on the floor
- Row 2: big standing fan | stack of beige computer towers | small Shinto kamidana shelf with offerings (protecting the servers)
Output: PNG, Wide landscape image, 1536×1024.</t>
  </si>
  <si>
    <t xml:space="preserve">props_misc.png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</si>
  <si>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Miscellaneous office objects.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wooden coat rack with a raincoat and umbrella | umbrella stand | wooden shoe locker
- Row 2: small potted bonsai | red paper lantern on a stand | closed brass art-deco lift door with a floor dial above it
Output: PNG, Wide landscape image, 1536×1024.</t>
  </si>
  <si>
    <t xml:space="preserve">Pickups, projectiles and effects</t>
  </si>
  <si>
    <t xml:space="preserve">fx_items.png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</si>
  <si>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seen from directly above, completely flat.
Subject: Small game items and effects.
Layout: a sprite sheet on a solid flat magenta background (#FF00FF, one single pure colour, no shading, no checkerboard). An evenly spaced grid of 4 columns and 2 rows of equal-sized cells with wide plain magenta gaps between the cells. Each cell shows one small item, centred, drawn at about 16×16 pixel-art resolution so each pixel is a big visible square block. No grid lines, borders, labels or numbers. Never use magenta or purple on the subjects themselves.
Cells, left to right, top to bottom:
- Row 1: round pink mochi | the same mochi with a gold sparkle | crumpled ball of paper | small ball of dragon fire, vermilion and gold
- Row 2: the same fireball, flames flickering differently | white-and-gold hit spark burst | small grey smoke puff | golden star
Output: PNG, Wide landscape image, 1536×1024.</t>
  </si>
  <si>
    <t xml:space="preserve">Full-screen backgrounds</t>
  </si>
  <si>
    <t xml:space="preserve">title_bg.png</t>
  </si>
  <si>
    <t xml:space="preserve">full scene</t>
  </si>
  <si>
    <t xml:space="preserve">320×180</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</si>
  <si>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of a 2D side-scrolling game stage, horizon level, no characters in the scene.
Subject: Title screen: a lone white rabbit in a navy suit, small and seen from behind, standing on a hill in front of a tall office tower at golden dawn, Mount Fuji far away. Large empty sky in the centre for the game title.
Draw it as low-resolution pixel art, as if the whole picture were only 320×180 pixels scaled up, so each pixel is a big visible square block.
Output: the scene fills the whole image edge to edge, no border, no vignette, no text. Wide landscape image, 1536×1024 (it will be cropped to 16:9, so keep important things away from the top and bottom edges).</t>
  </si>
  <si>
    <t xml:space="preserve">intro_flat.png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</si>
  <si>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of a 2D side-scrolling game stage, horizon level, no characters in the scene.
Subject: The inside of a tiny Tokyo apartment at dawn: a futon on the floor on the left, a window in the middle with the sun rising, a door on the right. Keep the bottom sixth of the image as plain floor.
Draw it as low-resolution pixel art, as if the whole picture were only 320×180 pixels scaled up, so each pixel is a big visible square block.
Output: the scene fills the whole image edge to edge, no border, no vignette, no text. Wide landscape image, 1536×1024 (it will be cropped to 16:9, so keep important things away from the top and bottom edges).</t>
  </si>
  <si>
    <t xml:space="preserve">intro_metro.png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</si>
  <si>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of a 2D side-scrolling game stage, horizon level, no characters in the scene.
Subject: A 1990s Tokyo metro station platform: tiled walls, pillars, a ticket turnstile, hanging station signs (symbols only). Keep the bottom sixth of the image as plain floor.
Draw it as low-resolution pixel art, as if the whole picture were only 320×180 pixels scaled up, so each pixel is a big visible square block.
Output: the scene fills the whole image edge to edge, no border, no vignette, no text. Wide landscape image, 1536×1024 (it will be cropped to 16:9, so keep important things away from the top and bottom edges).</t>
  </si>
  <si>
    <t xml:space="preserve">intro_entrance.png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</si>
  <si>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of a 2D side-scrolling game stage, horizon level, no characters in the scene.
Subject: The street outside a corporate office building in the morning, cherry trees, glass entrance doors on the right side. Keep the bottom sixth of the image as plain pavement.
Draw it as low-resolution pixel art, as if the whole picture were only 320×180 pixels scaled up, so each pixel is a big visible square block.
Output: the scene fills the whole image edge to edge, no border, no vignette, no text. Wide landscape image, 1536×1024 (it will be cropped to 16:9, so keep important things away from the top and bottom edges).</t>
  </si>
  <si>
    <t xml:space="preserve">lift_interior.png</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</si>
  <si>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straight-on front view, no characters in the scene.
Subject: The empty interior of an old brass and polished-wood lift (elevator), seen from inside, a floor indicator dial above the closed doors, warm light.
Draw it as low-resolution pixel art, as if the whole picture were only 320×180 pixels scaled up, so each pixel is a big visible square block.
Output: the scene fills the whole image edge to edge, no border, no vignette, no text. Wide landscape image, 1536×1024 (it will be cropped to 16:9, so keep important things away from the top and bottom edges).</t>
  </si>
  <si>
    <t xml:space="preserve">Later</t>
  </si>
  <si>
    <t xml:space="preserve">boss_portrait.png</t>
  </si>
  <si>
    <t xml:space="preserve">Wait for the team.</t>
  </si>
  <si>
    <t xml:space="preserve">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chest-up character portrait, three-quarter view, like a dialogue portrait in a Japanese RPG.
Subject: PLACEHOLDER — the boss in the lift is not decided yet. Wait for the team before generating this one. Faces to the left.
Layout: a sprite sheet on a solid flat magenta background (#FF00FF, one single pure colour, no shading, no checkerboard). An evenly spaced grid of 2 columns and 1 row of equal-sized cells with wide plain magenta gaps between the cells. Every cell shows the exact same character (same design, same colours, same size), centred in its cell, feet on the same baseline. Draw each cell at about 64×64 pixel-art resolution, so each pixel is a big visible square block. No grid lines, borders, labels or numbers. Never use magenta or purple on the subjects themselves.
Cells, left to right, top to bottom:
- Row 1: mouth closed | mouth open (talking), otherwise identical
Output: PNG, Wide landscape image, 1536×1024.</t>
  </si>
  <si>
    <t xml:space="preserve">Progress</t>
  </si>
  <si>
    <t xml:space="preserve">Images</t>
  </si>
  <si>
    <t xml:space="preserve">In progress</t>
  </si>
  <si>
    <t xml:space="preserve">Delivered</t>
  </si>
  <si>
    <t xml:space="preserve">In game</t>
  </si>
  <si>
    <t xml:space="preserve">Needs redo</t>
  </si>
  <si>
    <t xml:space="preserve">Total</t>
  </si>
  <si>
    <t xml:space="preserve">Done (in game)</t>
  </si>
  <si>
    <t xml:space="preserve">Unassigned images</t>
  </si>
  <si>
    <t xml:space="preserve">Shared palette — the processing script snaps every image to these 16 colours</t>
  </si>
  <si>
    <t xml:space="preserve">ink black</t>
  </si>
  <si>
    <t xml:space="preserve">#1B1A2E</t>
  </si>
  <si>
    <t xml:space="preserve">night indigo</t>
  </si>
  <si>
    <t xml:space="preserve">#26295A</t>
  </si>
  <si>
    <t xml:space="preserve">slate blue</t>
  </si>
  <si>
    <t xml:space="preserve">#5468A8</t>
  </si>
  <si>
    <t xml:space="preserve">sky blue</t>
  </si>
  <si>
    <t xml:space="preserve">#9CC3E6</t>
  </si>
  <si>
    <t xml:space="preserve">paper cream</t>
  </si>
  <si>
    <t xml:space="preserve">#F2E8D5</t>
  </si>
  <si>
    <t xml:space="preserve">warm grey</t>
  </si>
  <si>
    <t xml:space="preserve">#A39E93</t>
  </si>
  <si>
    <t xml:space="preserve">dark grey</t>
  </si>
  <si>
    <t xml:space="preserve">#5C5A63</t>
  </si>
  <si>
    <t xml:space="preserve">vermilion</t>
  </si>
  <si>
    <t xml:space="preserve">#D9412B</t>
  </si>
  <si>
    <t xml:space="preserve">deep red</t>
  </si>
  <si>
    <t xml:space="preserve">#8C2A2A</t>
  </si>
  <si>
    <t xml:space="preserve">gold</t>
  </si>
  <si>
    <t xml:space="preserve">#E8B84A</t>
  </si>
  <si>
    <t xml:space="preserve">ochre</t>
  </si>
  <si>
    <t xml:space="preserve">#B97A2E</t>
  </si>
  <si>
    <t xml:space="preserve">wood brown</t>
  </si>
  <si>
    <t xml:space="preserve">#6B4226</t>
  </si>
  <si>
    <t xml:space="preserve">celadon green</t>
  </si>
  <si>
    <t xml:space="preserve">#7FB3A0</t>
  </si>
  <si>
    <t xml:space="preserve">moss green</t>
  </si>
  <si>
    <t xml:space="preserve">#3E6B4F</t>
  </si>
  <si>
    <t xml:space="preserve">sakura pink</t>
  </si>
  <si>
    <t xml:space="preserve">#F2A7B8</t>
  </si>
  <si>
    <t xml:space="preserve">peach</t>
  </si>
  <si>
    <t xml:space="preserve">#F0C9A0</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</si>
</sst>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16"/>
      <color rgb="FF26295A"/>
      <name val="Arial"/>
      <family val="0"/>
      <charset val="1"/>
    </font>
    <font>
      <sz val="11"/>
      <color rgb="FF000000"/>
      <name val="Arial"/>
      <family val="0"/>
      <charset val="1"/>
    </font>
    <font>
      <b val="true"/>
      <sz val="11"/>
      <color rgb="FF26295A"/>
      <name val="Arial"/>
      <family val="0"/>
      <charset val="1"/>
    </font>
    <font>
      <b val="true"/>
      <sz val="11"/>
      <color rgb="FFF2E8D5"/>
      <name val="Arial"/>
      <family val="0"/>
      <charset val="1"/>
    </font>
    <font>
      <sz val="10"/>
      <name val="Arial"/>
      <family val="0"/>
      <charset val="1"/>
    </font>
    <font>
      <b val="true"/>
      <sz val="10"/>
      <name val="Arial"/>
      <family val="0"/>
      <charset val="1"/>
    </font>
    <font>
      <b val="true"/>
      <sz val="14"/>
      <color rgb="FF26295A"/>
      <name val="Arial"/>
      <family val="0"/>
      <charset val="1"/>
    </font>
    <font>
      <sz val="11"/>
      <name val="Arial"/>
      <family val="0"/>
      <charset val="1"/>
    </font>
    <font>
      <b val="true"/>
      <sz val="11"/>
      <name val="Arial"/>
      <family val="0"/>
      <charset val="1"/>
    </font>
  </fonts>
  <fills count="19">
    <fill>
      <patternFill patternType="none"/>
    </fill>
    <fill>
      <patternFill patternType="gray125"/>
    </fill>
    <fill>
      <patternFill patternType="solid">
        <fgColor rgb="FF26295A"/>
        <bgColor rgb="FF1B1A2E"/>
      </patternFill>
    </fill>
    <fill>
      <patternFill patternType="solid">
        <fgColor rgb="FFFFF2CC"/>
        <bgColor rgb="FFF2E8D5"/>
      </patternFill>
    </fill>
    <fill>
      <patternFill patternType="solid">
        <fgColor rgb="FF1B1A2E"/>
        <bgColor rgb="FF26295A"/>
      </patternFill>
    </fill>
    <fill>
      <patternFill patternType="solid">
        <fgColor rgb="FF5468A8"/>
        <bgColor rgb="FF5C5A63"/>
      </patternFill>
    </fill>
    <fill>
      <patternFill patternType="solid">
        <fgColor rgb="FF9CC3E6"/>
        <bgColor rgb="FFBFBFBF"/>
      </patternFill>
    </fill>
    <fill>
      <patternFill patternType="solid">
        <fgColor rgb="FFF2E8D5"/>
        <bgColor rgb="FFFFF2CC"/>
      </patternFill>
    </fill>
    <fill>
      <patternFill patternType="solid">
        <fgColor rgb="FFA39E93"/>
        <bgColor rgb="FF7FB3A0"/>
      </patternFill>
    </fill>
    <fill>
      <patternFill patternType="solid">
        <fgColor rgb="FF5C5A63"/>
        <bgColor rgb="FF3E6B4F"/>
      </patternFill>
    </fill>
    <fill>
      <patternFill patternType="solid">
        <fgColor rgb="FFD9412B"/>
        <bgColor rgb="FF993366"/>
      </patternFill>
    </fill>
    <fill>
      <patternFill patternType="solid">
        <fgColor rgb="FF8C2A2A"/>
        <bgColor rgb="FF993366"/>
      </patternFill>
    </fill>
    <fill>
      <patternFill patternType="solid">
        <fgColor rgb="FFE8B84A"/>
        <bgColor rgb="FFF0C9A0"/>
      </patternFill>
    </fill>
    <fill>
      <patternFill patternType="solid">
        <fgColor rgb="FFB97A2E"/>
        <bgColor rgb="FFA39E93"/>
      </patternFill>
    </fill>
    <fill>
      <patternFill patternType="solid">
        <fgColor rgb="FF6B4226"/>
        <bgColor rgb="FF8C2A2A"/>
      </patternFill>
    </fill>
    <fill>
      <patternFill patternType="solid">
        <fgColor rgb="FF7FB3A0"/>
        <bgColor rgb="FFA39E93"/>
      </patternFill>
    </fill>
    <fill>
      <patternFill patternType="solid">
        <fgColor rgb="FF3E6B4F"/>
        <bgColor rgb="FF5C5A63"/>
      </patternFill>
    </fill>
    <fill>
      <patternFill patternType="solid">
        <fgColor rgb="FFF2A7B8"/>
        <bgColor rgb="FFFFC7CE"/>
      </patternFill>
    </fill>
    <fill>
      <patternFill patternType="solid">
        <fgColor rgb="FFF0C9A0"/>
        <bgColor rgb="FFFFC7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6295A"/>
          <bgColor rgb="FF000000"/>
        </patternFill>
      </fill>
    </dxf>
    <dxf>
      <fill>
        <patternFill patternType="solid">
          <bgColor rgb="FF000000"/>
        </patternFill>
      </fill>
    </dxf>
    <dxf>
      <fill>
        <patternFill patternType="solid">
          <fgColor rgb="FFF2E8D5"/>
          <bgColor rgb="FF000000"/>
        </patternFill>
      </fill>
    </dxf>
    <dxf>
      <fill>
        <patternFill patternType="solid">
          <fgColor rgb="FFFFF2CC"/>
          <bgColor rgb="FF000000"/>
        </patternFill>
      </fill>
    </dxf>
    <dxf>
      <fill>
        <patternFill>
          <bgColor rgb="FFDDEBF7"/>
        </patternFill>
      </fill>
    </dxf>
    <dxf>
      <fill>
        <patternFill>
          <bgColor rgb="FFC6EFCE"/>
        </patternFill>
      </fill>
    </dxf>
    <dxf>
      <fill>
        <patternFill>
          <bgColor rgb="FFFFC7CE"/>
        </patternFill>
      </fill>
    </dxf>
    <dxf>
      <fill>
        <patternFill>
          <bgColor rgb="FFFFEB9C"/>
        </patternFill>
      </fill>
    </dxf>
  </dxfs>
  <colors>
    <indexedColors>
      <rgbColor rgb="FF000000"/>
      <rgbColor rgb="FFF2E8D5"/>
      <rgbColor rgb="FFFF0000"/>
      <rgbColor rgb="FF00FF00"/>
      <rgbColor rgb="FF0000FF"/>
      <rgbColor rgb="FFFFFF00"/>
      <rgbColor rgb="FFFF00FF"/>
      <rgbColor rgb="FF00FFFF"/>
      <rgbColor rgb="FF800000"/>
      <rgbColor rgb="FF008000"/>
      <rgbColor rgb="FF000080"/>
      <rgbColor rgb="FFB97A2E"/>
      <rgbColor rgb="FF800080"/>
      <rgbColor rgb="FF008080"/>
      <rgbColor rgb="FFBFBFBF"/>
      <rgbColor rgb="FF5C5A63"/>
      <rgbColor rgb="FF7FB3A0"/>
      <rgbColor rgb="FF6B4226"/>
      <rgbColor rgb="FFFFF2CC"/>
      <rgbColor rgb="FFDDEBF7"/>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CC3E6"/>
      <rgbColor rgb="FFF2A7B8"/>
      <rgbColor rgb="FFCC99FF"/>
      <rgbColor rgb="FFF0C9A0"/>
      <rgbColor rgb="FF3366FF"/>
      <rgbColor rgb="FF33CCCC"/>
      <rgbColor rgb="FF99CC00"/>
      <rgbColor rgb="FFE8B84A"/>
      <rgbColor rgb="FFFF9900"/>
      <rgbColor rgb="FFD9412B"/>
      <rgbColor rgb="FF5468A8"/>
      <rgbColor rgb="FFA39E93"/>
      <rgbColor rgb="FF003366"/>
      <rgbColor rgb="FF3E6B4F"/>
      <rgbColor rgb="FF003300"/>
      <rgbColor rgb="FF1B1A2E"/>
      <rgbColor rgb="FF8C2A2A"/>
      <rgbColor rgb="FF993366"/>
      <rgbColor rgb="FF333399"/>
      <rgbColor rgb="FF2629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26.8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26.85" hidden="false" customHeight="false" outlineLevel="0" collapsed="false">
      <c r="A16" s="2" t="s">
        <v>12</v>
      </c>
    </row>
    <row r="17" customFormat="false" ht="26.8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row>
    <row r="21" customFormat="false" ht="15" hidden="false" customHeight="false" outlineLevel="0" collapsed="false">
      <c r="A21" s="3" t="s">
        <v>16</v>
      </c>
    </row>
    <row r="22" customFormat="false" ht="15" hidden="false" customHeight="false" outlineLevel="0" collapsed="false">
      <c r="A22" s="2" t="s">
        <v>17</v>
      </c>
    </row>
    <row r="23" customFormat="false" ht="15" hidden="false" customHeight="false" outlineLevel="0" collapsed="false">
      <c r="A23"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22"/>
    <col collapsed="false" customWidth="true" hidden="false" outlineLevel="0" max="4" min="4" style="0" width="24"/>
    <col collapsed="false" customWidth="true" hidden="false" outlineLevel="0" max="5" min="5" style="0" width="12"/>
    <col collapsed="false" customWidth="true" hidden="false" outlineLevel="0" max="6" min="6" style="0" width="11"/>
    <col collapsed="false" customWidth="true" hidden="false" outlineLevel="0" max="7" min="7" style="0" width="22"/>
    <col collapsed="false" customWidth="true" hidden="false" outlineLevel="0" max="8" min="8" style="0" width="34"/>
    <col collapsed="false" customWidth="true" hidden="false" outlineLevel="0" max="9" min="9" style="0" width="110"/>
    <col collapsed="false" customWidth="true" hidden="false" outlineLevel="0" max="10" min="10" style="0" width="16"/>
    <col collapsed="false" customWidth="true" hidden="false" outlineLevel="0" max="11" min="11" style="0" width="14"/>
    <col collapsed="false" customWidth="true" hidden="false" outlineLevel="0" max="12" min="12" style="0" width="30"/>
  </cols>
  <sheetData>
    <row r="1" customFormat="false" ht="31.5" hidden="false" customHeight="true" outlineLevel="0" collapsed="false">
      <c r="A1" s="4" t="s">
        <v>19</v>
      </c>
      <c r="B1" s="4" t="s">
        <v>20</v>
      </c>
      <c r="C1" s="4" t="s">
        <v>21</v>
      </c>
      <c r="D1" s="4" t="s">
        <v>22</v>
      </c>
      <c r="E1" s="4" t="s">
        <v>23</v>
      </c>
      <c r="F1" s="4" t="s">
        <v>24</v>
      </c>
      <c r="G1" s="4" t="s">
        <v>25</v>
      </c>
      <c r="H1" s="4" t="s">
        <v>26</v>
      </c>
      <c r="I1" s="4" t="s">
        <v>27</v>
      </c>
      <c r="J1" s="4" t="s">
        <v>28</v>
      </c>
      <c r="K1" s="4" t="s">
        <v>29</v>
      </c>
      <c r="L1" s="4" t="s">
        <v>30</v>
      </c>
    </row>
    <row r="2" customFormat="false" ht="229.5" hidden="false" customHeight="true" outlineLevel="0" collapsed="false">
      <c r="A2" s="5" t="n">
        <v>1</v>
      </c>
      <c r="B2" s="5" t="s">
        <v>31</v>
      </c>
      <c r="C2" s="5" t="s">
        <v>32</v>
      </c>
      <c r="D2" s="6" t="s">
        <v>33</v>
      </c>
      <c r="E2" s="5" t="s">
        <v>34</v>
      </c>
      <c r="F2" s="5" t="s">
        <v>35</v>
      </c>
      <c r="G2" s="5" t="s">
        <v>36</v>
      </c>
      <c r="H2" s="5" t="s">
        <v>37</v>
      </c>
      <c r="I2" s="5" t="s">
        <v>38</v>
      </c>
      <c r="J2" s="7"/>
      <c r="K2" s="7" t="s">
        <v>39</v>
      </c>
      <c r="L2" s="7"/>
    </row>
    <row r="3" customFormat="false" ht="229.5" hidden="false" customHeight="true" outlineLevel="0" collapsed="false">
      <c r="A3" s="5" t="n">
        <v>2</v>
      </c>
      <c r="B3" s="5" t="s">
        <v>40</v>
      </c>
      <c r="C3" s="5" t="s">
        <v>32</v>
      </c>
      <c r="D3" s="6" t="s">
        <v>41</v>
      </c>
      <c r="E3" s="5" t="s">
        <v>34</v>
      </c>
      <c r="F3" s="5" t="s">
        <v>35</v>
      </c>
      <c r="G3" s="5" t="s">
        <v>36</v>
      </c>
      <c r="H3" s="5" t="s">
        <v>42</v>
      </c>
      <c r="I3" s="5" t="s">
        <v>43</v>
      </c>
      <c r="J3" s="7"/>
      <c r="K3" s="7" t="s">
        <v>39</v>
      </c>
      <c r="L3" s="7"/>
    </row>
    <row r="4" customFormat="false" ht="229.5" hidden="false" customHeight="true" outlineLevel="0" collapsed="false">
      <c r="A4" s="5" t="n">
        <v>3</v>
      </c>
      <c r="B4" s="5" t="s">
        <v>40</v>
      </c>
      <c r="C4" s="5" t="s">
        <v>32</v>
      </c>
      <c r="D4" s="6" t="s">
        <v>44</v>
      </c>
      <c r="E4" s="5" t="s">
        <v>34</v>
      </c>
      <c r="F4" s="5" t="s">
        <v>35</v>
      </c>
      <c r="G4" s="5" t="s">
        <v>36</v>
      </c>
      <c r="H4" s="5" t="s">
        <v>42</v>
      </c>
      <c r="I4" s="5" t="s">
        <v>45</v>
      </c>
      <c r="J4" s="7"/>
      <c r="K4" s="7" t="s">
        <v>39</v>
      </c>
      <c r="L4" s="7"/>
    </row>
    <row r="5" customFormat="false" ht="229.5" hidden="false" customHeight="true" outlineLevel="0" collapsed="false">
      <c r="A5" s="5" t="n">
        <v>4</v>
      </c>
      <c r="B5" s="5" t="s">
        <v>40</v>
      </c>
      <c r="C5" s="5" t="s">
        <v>32</v>
      </c>
      <c r="D5" s="6" t="s">
        <v>46</v>
      </c>
      <c r="E5" s="5" t="s">
        <v>34</v>
      </c>
      <c r="F5" s="5" t="s">
        <v>35</v>
      </c>
      <c r="G5" s="5" t="s">
        <v>36</v>
      </c>
      <c r="H5" s="5" t="s">
        <v>47</v>
      </c>
      <c r="I5" s="5" t="s">
        <v>48</v>
      </c>
      <c r="J5" s="7"/>
      <c r="K5" s="7" t="s">
        <v>39</v>
      </c>
      <c r="L5" s="7"/>
    </row>
    <row r="6" customFormat="false" ht="229.5" hidden="false" customHeight="true" outlineLevel="0" collapsed="false">
      <c r="A6" s="5" t="n">
        <v>5</v>
      </c>
      <c r="B6" s="5" t="s">
        <v>40</v>
      </c>
      <c r="C6" s="5" t="s">
        <v>32</v>
      </c>
      <c r="D6" s="6" t="s">
        <v>49</v>
      </c>
      <c r="E6" s="5" t="s">
        <v>50</v>
      </c>
      <c r="F6" s="5" t="s">
        <v>51</v>
      </c>
      <c r="G6" s="5" t="s">
        <v>52</v>
      </c>
      <c r="H6" s="5" t="s">
        <v>47</v>
      </c>
      <c r="I6" s="5" t="s">
        <v>53</v>
      </c>
      <c r="J6" s="7"/>
      <c r="K6" s="7" t="s">
        <v>39</v>
      </c>
      <c r="L6" s="7"/>
    </row>
    <row r="7" customFormat="false" ht="229.5" hidden="false" customHeight="true" outlineLevel="0" collapsed="false">
      <c r="A7" s="5" t="n">
        <v>6</v>
      </c>
      <c r="B7" s="5" t="s">
        <v>40</v>
      </c>
      <c r="C7" s="5" t="s">
        <v>32</v>
      </c>
      <c r="D7" s="6" t="s">
        <v>54</v>
      </c>
      <c r="E7" s="5" t="s">
        <v>55</v>
      </c>
      <c r="F7" s="5" t="s">
        <v>56</v>
      </c>
      <c r="G7" s="5" t="s">
        <v>52</v>
      </c>
      <c r="H7" s="5" t="s">
        <v>47</v>
      </c>
      <c r="I7" s="5" t="s">
        <v>57</v>
      </c>
      <c r="J7" s="7"/>
      <c r="K7" s="7" t="s">
        <v>39</v>
      </c>
      <c r="L7" s="7"/>
    </row>
    <row r="8" customFormat="false" ht="229.5" hidden="false" customHeight="true" outlineLevel="0" collapsed="false">
      <c r="A8" s="5" t="n">
        <v>7</v>
      </c>
      <c r="B8" s="5" t="s">
        <v>58</v>
      </c>
      <c r="C8" s="5" t="s">
        <v>59</v>
      </c>
      <c r="D8" s="6" t="s">
        <v>60</v>
      </c>
      <c r="E8" s="5" t="s">
        <v>50</v>
      </c>
      <c r="F8" s="5" t="s">
        <v>56</v>
      </c>
      <c r="G8" s="5" t="s">
        <v>52</v>
      </c>
      <c r="H8" s="5"/>
      <c r="I8" s="5" t="s">
        <v>61</v>
      </c>
      <c r="J8" s="7"/>
      <c r="K8" s="7" t="s">
        <v>39</v>
      </c>
      <c r="L8" s="7"/>
    </row>
    <row r="9" customFormat="false" ht="229.5" hidden="false" customHeight="true" outlineLevel="0" collapsed="false">
      <c r="A9" s="5" t="n">
        <v>8</v>
      </c>
      <c r="B9" s="5" t="s">
        <v>58</v>
      </c>
      <c r="C9" s="5" t="s">
        <v>62</v>
      </c>
      <c r="D9" s="6" t="s">
        <v>63</v>
      </c>
      <c r="E9" s="5" t="s">
        <v>64</v>
      </c>
      <c r="F9" s="5" t="s">
        <v>65</v>
      </c>
      <c r="G9" s="5" t="s">
        <v>52</v>
      </c>
      <c r="H9" s="5"/>
      <c r="I9" s="5" t="s">
        <v>66</v>
      </c>
      <c r="J9" s="7"/>
      <c r="K9" s="7" t="s">
        <v>39</v>
      </c>
      <c r="L9" s="7"/>
    </row>
    <row r="10" customFormat="false" ht="229.5" hidden="false" customHeight="true" outlineLevel="0" collapsed="false">
      <c r="A10" s="5" t="n">
        <v>9</v>
      </c>
      <c r="B10" s="5" t="s">
        <v>58</v>
      </c>
      <c r="C10" s="5" t="s">
        <v>62</v>
      </c>
      <c r="D10" s="6" t="s">
        <v>67</v>
      </c>
      <c r="E10" s="5" t="s">
        <v>64</v>
      </c>
      <c r="F10" s="5" t="s">
        <v>65</v>
      </c>
      <c r="G10" s="5" t="s">
        <v>52</v>
      </c>
      <c r="H10" s="5"/>
      <c r="I10" s="5" t="s">
        <v>68</v>
      </c>
      <c r="J10" s="7"/>
      <c r="K10" s="7" t="s">
        <v>39</v>
      </c>
      <c r="L10" s="7"/>
    </row>
    <row r="11" customFormat="false" ht="229.5" hidden="false" customHeight="true" outlineLevel="0" collapsed="false">
      <c r="A11" s="5" t="n">
        <v>10</v>
      </c>
      <c r="B11" s="5" t="s">
        <v>58</v>
      </c>
      <c r="C11" s="5" t="s">
        <v>62</v>
      </c>
      <c r="D11" s="6" t="s">
        <v>69</v>
      </c>
      <c r="E11" s="5" t="s">
        <v>64</v>
      </c>
      <c r="F11" s="5" t="s">
        <v>65</v>
      </c>
      <c r="G11" s="5" t="s">
        <v>52</v>
      </c>
      <c r="H11" s="5"/>
      <c r="I11" s="5" t="s">
        <v>70</v>
      </c>
      <c r="J11" s="7"/>
      <c r="K11" s="7" t="s">
        <v>39</v>
      </c>
      <c r="L11" s="7"/>
    </row>
    <row r="12" customFormat="false" ht="229.5" hidden="false" customHeight="true" outlineLevel="0" collapsed="false">
      <c r="A12" s="5" t="n">
        <v>11</v>
      </c>
      <c r="B12" s="5" t="s">
        <v>58</v>
      </c>
      <c r="C12" s="5" t="s">
        <v>71</v>
      </c>
      <c r="D12" s="6" t="s">
        <v>72</v>
      </c>
      <c r="E12" s="5" t="s">
        <v>64</v>
      </c>
      <c r="F12" s="5" t="s">
        <v>73</v>
      </c>
      <c r="G12" s="5" t="s">
        <v>52</v>
      </c>
      <c r="H12" s="5"/>
      <c r="I12" s="5" t="s">
        <v>74</v>
      </c>
      <c r="J12" s="7"/>
      <c r="K12" s="7" t="s">
        <v>39</v>
      </c>
      <c r="L12" s="7"/>
    </row>
    <row r="13" customFormat="false" ht="229.5" hidden="false" customHeight="true" outlineLevel="0" collapsed="false">
      <c r="A13" s="5" t="n">
        <v>12</v>
      </c>
      <c r="B13" s="5" t="s">
        <v>58</v>
      </c>
      <c r="C13" s="5" t="s">
        <v>71</v>
      </c>
      <c r="D13" s="6" t="s">
        <v>75</v>
      </c>
      <c r="E13" s="5" t="s">
        <v>50</v>
      </c>
      <c r="F13" s="5" t="s">
        <v>35</v>
      </c>
      <c r="G13" s="5" t="s">
        <v>52</v>
      </c>
      <c r="H13" s="5"/>
      <c r="I13" s="5" t="s">
        <v>76</v>
      </c>
      <c r="J13" s="7"/>
      <c r="K13" s="7" t="s">
        <v>39</v>
      </c>
      <c r="L13" s="7"/>
    </row>
    <row r="14" customFormat="false" ht="229.5" hidden="false" customHeight="true" outlineLevel="0" collapsed="false">
      <c r="A14" s="5" t="n">
        <v>13</v>
      </c>
      <c r="B14" s="5" t="s">
        <v>58</v>
      </c>
      <c r="C14" s="5" t="s">
        <v>77</v>
      </c>
      <c r="D14" s="6" t="s">
        <v>78</v>
      </c>
      <c r="E14" s="5" t="s">
        <v>64</v>
      </c>
      <c r="F14" s="5" t="s">
        <v>35</v>
      </c>
      <c r="G14" s="5" t="s">
        <v>52</v>
      </c>
      <c r="H14" s="5"/>
      <c r="I14" s="5" t="s">
        <v>79</v>
      </c>
      <c r="J14" s="7"/>
      <c r="K14" s="7" t="s">
        <v>39</v>
      </c>
      <c r="L14" s="7"/>
    </row>
    <row r="15" customFormat="false" ht="229.5" hidden="false" customHeight="true" outlineLevel="0" collapsed="false">
      <c r="A15" s="5" t="n">
        <v>14</v>
      </c>
      <c r="B15" s="5" t="s">
        <v>58</v>
      </c>
      <c r="C15" s="5" t="s">
        <v>77</v>
      </c>
      <c r="D15" s="6" t="s">
        <v>80</v>
      </c>
      <c r="E15" s="5" t="s">
        <v>64</v>
      </c>
      <c r="F15" s="5" t="s">
        <v>35</v>
      </c>
      <c r="G15" s="5" t="s">
        <v>52</v>
      </c>
      <c r="H15" s="5"/>
      <c r="I15" s="5" t="s">
        <v>81</v>
      </c>
      <c r="J15" s="7"/>
      <c r="K15" s="7" t="s">
        <v>39</v>
      </c>
      <c r="L15" s="7"/>
    </row>
    <row r="16" customFormat="false" ht="229.5" hidden="false" customHeight="true" outlineLevel="0" collapsed="false">
      <c r="A16" s="5" t="n">
        <v>15</v>
      </c>
      <c r="B16" s="5" t="s">
        <v>58</v>
      </c>
      <c r="C16" s="5" t="s">
        <v>77</v>
      </c>
      <c r="D16" s="6" t="s">
        <v>82</v>
      </c>
      <c r="E16" s="5" t="s">
        <v>64</v>
      </c>
      <c r="F16" s="5" t="s">
        <v>35</v>
      </c>
      <c r="G16" s="5" t="s">
        <v>52</v>
      </c>
      <c r="H16" s="5"/>
      <c r="I16" s="5" t="s">
        <v>83</v>
      </c>
      <c r="J16" s="7"/>
      <c r="K16" s="7" t="s">
        <v>39</v>
      </c>
      <c r="L16" s="7"/>
    </row>
    <row r="17" customFormat="false" ht="229.5" hidden="false" customHeight="true" outlineLevel="0" collapsed="false">
      <c r="A17" s="5" t="n">
        <v>16</v>
      </c>
      <c r="B17" s="5" t="s">
        <v>58</v>
      </c>
      <c r="C17" s="5" t="s">
        <v>77</v>
      </c>
      <c r="D17" s="6" t="s">
        <v>84</v>
      </c>
      <c r="E17" s="5" t="s">
        <v>64</v>
      </c>
      <c r="F17" s="5" t="s">
        <v>35</v>
      </c>
      <c r="G17" s="5" t="s">
        <v>52</v>
      </c>
      <c r="H17" s="5"/>
      <c r="I17" s="5" t="s">
        <v>85</v>
      </c>
      <c r="J17" s="7"/>
      <c r="K17" s="7" t="s">
        <v>39</v>
      </c>
      <c r="L17" s="7"/>
    </row>
    <row r="18" customFormat="false" ht="229.5" hidden="false" customHeight="true" outlineLevel="0" collapsed="false">
      <c r="A18" s="5" t="n">
        <v>17</v>
      </c>
      <c r="B18" s="5" t="s">
        <v>58</v>
      </c>
      <c r="C18" s="5" t="s">
        <v>77</v>
      </c>
      <c r="D18" s="6" t="s">
        <v>86</v>
      </c>
      <c r="E18" s="5" t="s">
        <v>64</v>
      </c>
      <c r="F18" s="5" t="s">
        <v>51</v>
      </c>
      <c r="G18" s="5" t="s">
        <v>52</v>
      </c>
      <c r="H18" s="5"/>
      <c r="I18" s="5" t="s">
        <v>87</v>
      </c>
      <c r="J18" s="7"/>
      <c r="K18" s="7" t="s">
        <v>39</v>
      </c>
      <c r="L18" s="7"/>
    </row>
    <row r="19" customFormat="false" ht="229.5" hidden="false" customHeight="true" outlineLevel="0" collapsed="false">
      <c r="A19" s="5" t="n">
        <v>18</v>
      </c>
      <c r="B19" s="5" t="s">
        <v>58</v>
      </c>
      <c r="C19" s="5" t="s">
        <v>88</v>
      </c>
      <c r="D19" s="6" t="s">
        <v>89</v>
      </c>
      <c r="E19" s="5" t="s">
        <v>90</v>
      </c>
      <c r="F19" s="5" t="s">
        <v>91</v>
      </c>
      <c r="G19" s="5" t="s">
        <v>36</v>
      </c>
      <c r="H19" s="5" t="s">
        <v>92</v>
      </c>
      <c r="I19" s="5" t="s">
        <v>93</v>
      </c>
      <c r="J19" s="7"/>
      <c r="K19" s="7" t="s">
        <v>39</v>
      </c>
      <c r="L19" s="7"/>
    </row>
    <row r="20" customFormat="false" ht="229.5" hidden="false" customHeight="true" outlineLevel="0" collapsed="false">
      <c r="A20" s="5" t="n">
        <v>19</v>
      </c>
      <c r="B20" s="5" t="s">
        <v>58</v>
      </c>
      <c r="C20" s="5" t="s">
        <v>88</v>
      </c>
      <c r="D20" s="6" t="s">
        <v>94</v>
      </c>
      <c r="E20" s="5" t="s">
        <v>90</v>
      </c>
      <c r="F20" s="5" t="s">
        <v>91</v>
      </c>
      <c r="G20" s="5" t="s">
        <v>36</v>
      </c>
      <c r="H20" s="5" t="s">
        <v>92</v>
      </c>
      <c r="I20" s="5" t="s">
        <v>95</v>
      </c>
      <c r="J20" s="7"/>
      <c r="K20" s="7" t="s">
        <v>39</v>
      </c>
      <c r="L20" s="7"/>
    </row>
    <row r="21" customFormat="false" ht="229.5" hidden="false" customHeight="true" outlineLevel="0" collapsed="false">
      <c r="A21" s="5" t="n">
        <v>20</v>
      </c>
      <c r="B21" s="5" t="s">
        <v>58</v>
      </c>
      <c r="C21" s="5" t="s">
        <v>96</v>
      </c>
      <c r="D21" s="6" t="s">
        <v>97</v>
      </c>
      <c r="E21" s="5" t="s">
        <v>98</v>
      </c>
      <c r="F21" s="5" t="s">
        <v>65</v>
      </c>
      <c r="G21" s="5" t="s">
        <v>52</v>
      </c>
      <c r="H21" s="5" t="s">
        <v>92</v>
      </c>
      <c r="I21" s="5" t="s">
        <v>99</v>
      </c>
      <c r="J21" s="7"/>
      <c r="K21" s="7" t="s">
        <v>39</v>
      </c>
      <c r="L21" s="7"/>
    </row>
    <row r="22" customFormat="false" ht="229.5" hidden="false" customHeight="true" outlineLevel="0" collapsed="false">
      <c r="A22" s="5" t="n">
        <v>21</v>
      </c>
      <c r="B22" s="5" t="s">
        <v>58</v>
      </c>
      <c r="C22" s="5" t="s">
        <v>96</v>
      </c>
      <c r="D22" s="6" t="s">
        <v>100</v>
      </c>
      <c r="E22" s="5" t="s">
        <v>98</v>
      </c>
      <c r="F22" s="5" t="s">
        <v>65</v>
      </c>
      <c r="G22" s="5" t="s">
        <v>52</v>
      </c>
      <c r="H22" s="5" t="s">
        <v>92</v>
      </c>
      <c r="I22" s="5" t="s">
        <v>101</v>
      </c>
      <c r="J22" s="7"/>
      <c r="K22" s="7" t="s">
        <v>39</v>
      </c>
      <c r="L22" s="7"/>
    </row>
    <row r="23" customFormat="false" ht="229.5" hidden="false" customHeight="true" outlineLevel="0" collapsed="false">
      <c r="A23" s="5" t="n">
        <v>22</v>
      </c>
      <c r="B23" s="5" t="s">
        <v>58</v>
      </c>
      <c r="C23" s="5" t="s">
        <v>96</v>
      </c>
      <c r="D23" s="6" t="s">
        <v>102</v>
      </c>
      <c r="E23" s="5" t="s">
        <v>98</v>
      </c>
      <c r="F23" s="5" t="s">
        <v>65</v>
      </c>
      <c r="G23" s="5" t="s">
        <v>52</v>
      </c>
      <c r="H23" s="5" t="s">
        <v>92</v>
      </c>
      <c r="I23" s="5" t="s">
        <v>103</v>
      </c>
      <c r="J23" s="7"/>
      <c r="K23" s="7" t="s">
        <v>39</v>
      </c>
      <c r="L23" s="7"/>
    </row>
    <row r="24" customFormat="false" ht="229.5" hidden="false" customHeight="true" outlineLevel="0" collapsed="false">
      <c r="A24" s="5" t="n">
        <v>23</v>
      </c>
      <c r="B24" s="5" t="s">
        <v>58</v>
      </c>
      <c r="C24" s="5" t="s">
        <v>96</v>
      </c>
      <c r="D24" s="6" t="s">
        <v>104</v>
      </c>
      <c r="E24" s="5" t="s">
        <v>98</v>
      </c>
      <c r="F24" s="5" t="s">
        <v>65</v>
      </c>
      <c r="G24" s="5" t="s">
        <v>52</v>
      </c>
      <c r="H24" s="5" t="s">
        <v>92</v>
      </c>
      <c r="I24" s="5" t="s">
        <v>105</v>
      </c>
      <c r="J24" s="7"/>
      <c r="K24" s="7" t="s">
        <v>39</v>
      </c>
      <c r="L24" s="7"/>
    </row>
    <row r="25" customFormat="false" ht="229.5" hidden="false" customHeight="true" outlineLevel="0" collapsed="false">
      <c r="A25" s="5" t="n">
        <v>24</v>
      </c>
      <c r="B25" s="5" t="s">
        <v>58</v>
      </c>
      <c r="C25" s="5" t="s">
        <v>96</v>
      </c>
      <c r="D25" s="6" t="s">
        <v>106</v>
      </c>
      <c r="E25" s="5" t="s">
        <v>98</v>
      </c>
      <c r="F25" s="5" t="s">
        <v>65</v>
      </c>
      <c r="G25" s="5" t="s">
        <v>52</v>
      </c>
      <c r="H25" s="5" t="s">
        <v>92</v>
      </c>
      <c r="I25" s="5" t="s">
        <v>107</v>
      </c>
      <c r="J25" s="7"/>
      <c r="K25" s="7" t="s">
        <v>39</v>
      </c>
      <c r="L25" s="7"/>
    </row>
    <row r="26" customFormat="false" ht="229.5" hidden="false" customHeight="true" outlineLevel="0" collapsed="false">
      <c r="A26" s="5" t="n">
        <v>25</v>
      </c>
      <c r="B26" s="5" t="s">
        <v>58</v>
      </c>
      <c r="C26" s="5" t="s">
        <v>96</v>
      </c>
      <c r="D26" s="6" t="s">
        <v>108</v>
      </c>
      <c r="E26" s="5" t="s">
        <v>98</v>
      </c>
      <c r="F26" s="5" t="s">
        <v>65</v>
      </c>
      <c r="G26" s="5" t="s">
        <v>52</v>
      </c>
      <c r="H26" s="5" t="s">
        <v>92</v>
      </c>
      <c r="I26" s="5" t="s">
        <v>109</v>
      </c>
      <c r="J26" s="7"/>
      <c r="K26" s="7" t="s">
        <v>39</v>
      </c>
      <c r="L26" s="7"/>
    </row>
    <row r="27" customFormat="false" ht="229.5" hidden="false" customHeight="true" outlineLevel="0" collapsed="false">
      <c r="A27" s="5" t="n">
        <v>26</v>
      </c>
      <c r="B27" s="5" t="s">
        <v>58</v>
      </c>
      <c r="C27" s="5" t="s">
        <v>96</v>
      </c>
      <c r="D27" s="6" t="s">
        <v>110</v>
      </c>
      <c r="E27" s="5" t="s">
        <v>98</v>
      </c>
      <c r="F27" s="5" t="s">
        <v>65</v>
      </c>
      <c r="G27" s="5" t="s">
        <v>52</v>
      </c>
      <c r="H27" s="5" t="s">
        <v>92</v>
      </c>
      <c r="I27" s="5" t="s">
        <v>111</v>
      </c>
      <c r="J27" s="7"/>
      <c r="K27" s="7" t="s">
        <v>39</v>
      </c>
      <c r="L27" s="7"/>
    </row>
    <row r="28" customFormat="false" ht="229.5" hidden="false" customHeight="true" outlineLevel="0" collapsed="false">
      <c r="A28" s="5" t="n">
        <v>27</v>
      </c>
      <c r="B28" s="5" t="s">
        <v>58</v>
      </c>
      <c r="C28" s="5" t="s">
        <v>96</v>
      </c>
      <c r="D28" s="6" t="s">
        <v>112</v>
      </c>
      <c r="E28" s="5" t="s">
        <v>98</v>
      </c>
      <c r="F28" s="5" t="s">
        <v>65</v>
      </c>
      <c r="G28" s="5" t="s">
        <v>52</v>
      </c>
      <c r="H28" s="5" t="s">
        <v>92</v>
      </c>
      <c r="I28" s="5" t="s">
        <v>113</v>
      </c>
      <c r="J28" s="7"/>
      <c r="K28" s="7" t="s">
        <v>39</v>
      </c>
      <c r="L28" s="7"/>
    </row>
    <row r="29" customFormat="false" ht="229.5" hidden="false" customHeight="true" outlineLevel="0" collapsed="false">
      <c r="A29" s="5" t="n">
        <v>28</v>
      </c>
      <c r="B29" s="5" t="s">
        <v>58</v>
      </c>
      <c r="C29" s="5" t="s">
        <v>114</v>
      </c>
      <c r="D29" s="6" t="s">
        <v>115</v>
      </c>
      <c r="E29" s="5" t="s">
        <v>50</v>
      </c>
      <c r="F29" s="5" t="s">
        <v>91</v>
      </c>
      <c r="G29" s="5" t="s">
        <v>52</v>
      </c>
      <c r="H29" s="5"/>
      <c r="I29" s="5" t="s">
        <v>116</v>
      </c>
      <c r="J29" s="7"/>
      <c r="K29" s="7" t="s">
        <v>39</v>
      </c>
      <c r="L29" s="7"/>
    </row>
    <row r="30" customFormat="false" ht="229.5" hidden="false" customHeight="true" outlineLevel="0" collapsed="false">
      <c r="A30" s="5" t="n">
        <v>29</v>
      </c>
      <c r="B30" s="5" t="s">
        <v>58</v>
      </c>
      <c r="C30" s="5" t="s">
        <v>117</v>
      </c>
      <c r="D30" s="6" t="s">
        <v>118</v>
      </c>
      <c r="E30" s="5" t="s">
        <v>119</v>
      </c>
      <c r="F30" s="5" t="s">
        <v>120</v>
      </c>
      <c r="G30" s="5" t="s">
        <v>52</v>
      </c>
      <c r="H30" s="5"/>
      <c r="I30" s="5" t="s">
        <v>121</v>
      </c>
      <c r="J30" s="7"/>
      <c r="K30" s="7" t="s">
        <v>39</v>
      </c>
      <c r="L30" s="7"/>
    </row>
    <row r="31" customFormat="false" ht="229.5" hidden="false" customHeight="true" outlineLevel="0" collapsed="false">
      <c r="A31" s="5" t="n">
        <v>30</v>
      </c>
      <c r="B31" s="5" t="s">
        <v>58</v>
      </c>
      <c r="C31" s="5" t="s">
        <v>117</v>
      </c>
      <c r="D31" s="6" t="s">
        <v>122</v>
      </c>
      <c r="E31" s="5" t="s">
        <v>119</v>
      </c>
      <c r="F31" s="5" t="s">
        <v>120</v>
      </c>
      <c r="G31" s="5" t="s">
        <v>52</v>
      </c>
      <c r="H31" s="5"/>
      <c r="I31" s="5" t="s">
        <v>123</v>
      </c>
      <c r="J31" s="7"/>
      <c r="K31" s="7" t="s">
        <v>39</v>
      </c>
      <c r="L31" s="7"/>
    </row>
    <row r="32" customFormat="false" ht="229.5" hidden="false" customHeight="true" outlineLevel="0" collapsed="false">
      <c r="A32" s="5" t="n">
        <v>31</v>
      </c>
      <c r="B32" s="5" t="s">
        <v>58</v>
      </c>
      <c r="C32" s="5" t="s">
        <v>117</v>
      </c>
      <c r="D32" s="6" t="s">
        <v>124</v>
      </c>
      <c r="E32" s="5" t="s">
        <v>119</v>
      </c>
      <c r="F32" s="5" t="s">
        <v>120</v>
      </c>
      <c r="G32" s="5" t="s">
        <v>52</v>
      </c>
      <c r="H32" s="5"/>
      <c r="I32" s="5" t="s">
        <v>125</v>
      </c>
      <c r="J32" s="7"/>
      <c r="K32" s="7" t="s">
        <v>39</v>
      </c>
      <c r="L32" s="7"/>
    </row>
    <row r="33" customFormat="false" ht="229.5" hidden="false" customHeight="true" outlineLevel="0" collapsed="false">
      <c r="A33" s="5" t="n">
        <v>32</v>
      </c>
      <c r="B33" s="5" t="s">
        <v>58</v>
      </c>
      <c r="C33" s="5" t="s">
        <v>117</v>
      </c>
      <c r="D33" s="6" t="s">
        <v>126</v>
      </c>
      <c r="E33" s="5" t="s">
        <v>119</v>
      </c>
      <c r="F33" s="5" t="s">
        <v>120</v>
      </c>
      <c r="G33" s="5" t="s">
        <v>52</v>
      </c>
      <c r="H33" s="5"/>
      <c r="I33" s="5" t="s">
        <v>127</v>
      </c>
      <c r="J33" s="7"/>
      <c r="K33" s="7" t="s">
        <v>39</v>
      </c>
      <c r="L33" s="7"/>
    </row>
    <row r="34" customFormat="false" ht="229.5" hidden="false" customHeight="true" outlineLevel="0" collapsed="false">
      <c r="A34" s="5" t="n">
        <v>33</v>
      </c>
      <c r="B34" s="5" t="s">
        <v>58</v>
      </c>
      <c r="C34" s="5" t="s">
        <v>117</v>
      </c>
      <c r="D34" s="6" t="s">
        <v>128</v>
      </c>
      <c r="E34" s="5" t="s">
        <v>119</v>
      </c>
      <c r="F34" s="5" t="s">
        <v>120</v>
      </c>
      <c r="G34" s="5" t="s">
        <v>52</v>
      </c>
      <c r="H34" s="5"/>
      <c r="I34" s="5" t="s">
        <v>129</v>
      </c>
      <c r="J34" s="7"/>
      <c r="K34" s="7" t="s">
        <v>39</v>
      </c>
      <c r="L34" s="7"/>
    </row>
    <row r="35" customFormat="false" ht="229.5" hidden="false" customHeight="true" outlineLevel="0" collapsed="false">
      <c r="A35" s="5" t="n">
        <v>34</v>
      </c>
      <c r="B35" s="5" t="s">
        <v>130</v>
      </c>
      <c r="C35" s="5" t="s">
        <v>59</v>
      </c>
      <c r="D35" s="6" t="s">
        <v>131</v>
      </c>
      <c r="E35" s="5" t="s">
        <v>55</v>
      </c>
      <c r="F35" s="5" t="s">
        <v>56</v>
      </c>
      <c r="G35" s="5" t="s">
        <v>52</v>
      </c>
      <c r="H35" s="5" t="s">
        <v>132</v>
      </c>
      <c r="I35" s="5" t="s">
        <v>133</v>
      </c>
      <c r="J35" s="7"/>
      <c r="K35" s="7" t="s">
        <v>39</v>
      </c>
      <c r="L35" s="7"/>
    </row>
  </sheetData>
  <autoFilter ref="A1:L35"/>
  <conditionalFormatting sqref="A2:L35">
    <cfRule type="expression" priority="2" aboveAverage="0" equalAverage="0" bottom="0" percent="0" rank="0" text="" dxfId="4">
      <formula>$K2="Delivered"</formula>
    </cfRule>
    <cfRule type="expression" priority="3" aboveAverage="0" equalAverage="0" bottom="0" percent="0" rank="0" text="" dxfId="5">
      <formula>$K2="In game"</formula>
    </cfRule>
    <cfRule type="expression" priority="4" aboveAverage="0" equalAverage="0" bottom="0" percent="0" rank="0" text="" dxfId="6">
      <formula>$K2="Needs redo"</formula>
    </cfRule>
    <cfRule type="expression" priority="5" aboveAverage="0" equalAverage="0" bottom="0" percent="0" rank="0" text="" dxfId="7">
      <formula>$K2="In progress"</formula>
    </cfRule>
  </conditionalFormatting>
  <dataValidations count="1">
    <dataValidation allowBlank="true" errorStyle="stop" operator="between" showDropDown="false" showErrorMessage="false" showInputMessage="false" sqref="K2:K35" type="list">
      <formula1>"To do,In progress,Delivered,In game,Needs redo"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s>
  <sheetData>
    <row r="1" customFormat="false" ht="17.35" hidden="false" customHeight="false" outlineLevel="0" collapsed="false">
      <c r="A1" s="8" t="s">
        <v>134</v>
      </c>
    </row>
    <row r="3" customFormat="false" ht="15" hidden="false" customHeight="false" outlineLevel="0" collapsed="false">
      <c r="A3" s="9" t="s">
        <v>29</v>
      </c>
      <c r="B3" s="9" t="s">
        <v>135</v>
      </c>
    </row>
    <row r="4" customFormat="false" ht="15" hidden="false" customHeight="false" outlineLevel="0" collapsed="false">
      <c r="A4" s="10" t="s">
        <v>39</v>
      </c>
      <c r="B4" s="10" t="n">
        <f aca="false">COUNTIF(Prompts!$K$2:$K$35,A4)</f>
        <v>34</v>
      </c>
    </row>
    <row r="5" customFormat="false" ht="15" hidden="false" customHeight="false" outlineLevel="0" collapsed="false">
      <c r="A5" s="10" t="s">
        <v>136</v>
      </c>
      <c r="B5" s="10" t="n">
        <f aca="false">COUNTIF(Prompts!$K$2:$K$35,A5)</f>
        <v>0</v>
      </c>
    </row>
    <row r="6" customFormat="false" ht="15" hidden="false" customHeight="false" outlineLevel="0" collapsed="false">
      <c r="A6" s="10" t="s">
        <v>137</v>
      </c>
      <c r="B6" s="10" t="n">
        <f aca="false">COUNTIF(Prompts!$K$2:$K$35,A6)</f>
        <v>0</v>
      </c>
    </row>
    <row r="7" customFormat="false" ht="15" hidden="false" customHeight="false" outlineLevel="0" collapsed="false">
      <c r="A7" s="10" t="s">
        <v>138</v>
      </c>
      <c r="B7" s="10" t="n">
        <f aca="false">COUNTIF(Prompts!$K$2:$K$35,A7)</f>
        <v>0</v>
      </c>
    </row>
    <row r="8" customFormat="false" ht="15" hidden="false" customHeight="false" outlineLevel="0" collapsed="false">
      <c r="A8" s="10" t="s">
        <v>139</v>
      </c>
      <c r="B8" s="10" t="n">
        <f aca="false">COUNTIF(Prompts!$K$2:$K$35,A8)</f>
        <v>0</v>
      </c>
    </row>
    <row r="9" customFormat="false" ht="15" hidden="false" customHeight="false" outlineLevel="0" collapsed="false">
      <c r="A9" s="11" t="s">
        <v>140</v>
      </c>
      <c r="B9" s="11" t="n">
        <f aca="false">SUM(B4:B8)</f>
        <v>34</v>
      </c>
    </row>
    <row r="10" customFormat="false" ht="15" hidden="false" customHeight="false" outlineLevel="0" collapsed="false">
      <c r="A10" s="11" t="s">
        <v>141</v>
      </c>
      <c r="B10" s="12" t="n">
        <f aca="false">IF(B9=0,0,B7/B9)</f>
        <v>0</v>
      </c>
    </row>
    <row r="12" customFormat="false" ht="15" hidden="false" customHeight="false" outlineLevel="0" collapsed="false">
      <c r="A12" s="10" t="s">
        <v>142</v>
      </c>
      <c r="B12" s="10" t="n">
        <f aca="false">COUNTBLANK(Prompts!$J$2:$J$35)</f>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0"/>
  </cols>
  <sheetData>
    <row r="1" customFormat="false" ht="15" hidden="false" customHeight="false" outlineLevel="0" collapsed="false">
      <c r="A1" s="13" t="s">
        <v>143</v>
      </c>
    </row>
    <row r="3" customFormat="false" ht="15" hidden="false" customHeight="false" outlineLevel="0" collapsed="false">
      <c r="A3" s="10" t="s">
        <v>144</v>
      </c>
      <c r="B3" s="10" t="s">
        <v>145</v>
      </c>
      <c r="C3" s="14"/>
    </row>
    <row r="4" customFormat="false" ht="15" hidden="false" customHeight="false" outlineLevel="0" collapsed="false">
      <c r="A4" s="10" t="s">
        <v>146</v>
      </c>
      <c r="B4" s="10" t="s">
        <v>147</v>
      </c>
      <c r="C4" s="15"/>
    </row>
    <row r="5" customFormat="false" ht="15" hidden="false" customHeight="false" outlineLevel="0" collapsed="false">
      <c r="A5" s="10" t="s">
        <v>148</v>
      </c>
      <c r="B5" s="10" t="s">
        <v>149</v>
      </c>
      <c r="C5" s="16"/>
    </row>
    <row r="6" customFormat="false" ht="15" hidden="false" customHeight="false" outlineLevel="0" collapsed="false">
      <c r="A6" s="10" t="s">
        <v>150</v>
      </c>
      <c r="B6" s="10" t="s">
        <v>151</v>
      </c>
      <c r="C6" s="17"/>
    </row>
    <row r="7" customFormat="false" ht="15" hidden="false" customHeight="false" outlineLevel="0" collapsed="false">
      <c r="A7" s="10" t="s">
        <v>152</v>
      </c>
      <c r="B7" s="10" t="s">
        <v>153</v>
      </c>
      <c r="C7" s="18"/>
    </row>
    <row r="8" customFormat="false" ht="15" hidden="false" customHeight="false" outlineLevel="0" collapsed="false">
      <c r="A8" s="10" t="s">
        <v>154</v>
      </c>
      <c r="B8" s="10" t="s">
        <v>155</v>
      </c>
      <c r="C8" s="19"/>
    </row>
    <row r="9" customFormat="false" ht="15" hidden="false" customHeight="false" outlineLevel="0" collapsed="false">
      <c r="A9" s="10" t="s">
        <v>156</v>
      </c>
      <c r="B9" s="10" t="s">
        <v>157</v>
      </c>
      <c r="C9" s="20"/>
    </row>
    <row r="10" customFormat="false" ht="15" hidden="false" customHeight="false" outlineLevel="0" collapsed="false">
      <c r="A10" s="10" t="s">
        <v>158</v>
      </c>
      <c r="B10" s="10" t="s">
        <v>159</v>
      </c>
      <c r="C10" s="21"/>
    </row>
    <row r="11" customFormat="false" ht="15" hidden="false" customHeight="false" outlineLevel="0" collapsed="false">
      <c r="A11" s="10" t="s">
        <v>160</v>
      </c>
      <c r="B11" s="10" t="s">
        <v>161</v>
      </c>
      <c r="C11" s="22"/>
    </row>
    <row r="12" customFormat="false" ht="15" hidden="false" customHeight="false" outlineLevel="0" collapsed="false">
      <c r="A12" s="10" t="s">
        <v>162</v>
      </c>
      <c r="B12" s="10" t="s">
        <v>163</v>
      </c>
      <c r="C12" s="23"/>
    </row>
    <row r="13" customFormat="false" ht="15" hidden="false" customHeight="false" outlineLevel="0" collapsed="false">
      <c r="A13" s="10" t="s">
        <v>164</v>
      </c>
      <c r="B13" s="10" t="s">
        <v>165</v>
      </c>
      <c r="C13" s="24"/>
    </row>
    <row r="14" customFormat="false" ht="15" hidden="false" customHeight="false" outlineLevel="0" collapsed="false">
      <c r="A14" s="10" t="s">
        <v>166</v>
      </c>
      <c r="B14" s="10" t="s">
        <v>167</v>
      </c>
      <c r="C14" s="25"/>
    </row>
    <row r="15" customFormat="false" ht="15" hidden="false" customHeight="false" outlineLevel="0" collapsed="false">
      <c r="A15" s="10" t="s">
        <v>168</v>
      </c>
      <c r="B15" s="10" t="s">
        <v>169</v>
      </c>
      <c r="C15" s="26"/>
    </row>
    <row r="16" customFormat="false" ht="15" hidden="false" customHeight="false" outlineLevel="0" collapsed="false">
      <c r="A16" s="10" t="s">
        <v>170</v>
      </c>
      <c r="B16" s="10" t="s">
        <v>171</v>
      </c>
      <c r="C16" s="27"/>
    </row>
    <row r="17" customFormat="false" ht="15" hidden="false" customHeight="false" outlineLevel="0" collapsed="false">
      <c r="A17" s="10" t="s">
        <v>172</v>
      </c>
      <c r="B17" s="10" t="s">
        <v>173</v>
      </c>
      <c r="C17" s="28"/>
    </row>
    <row r="18" customFormat="false" ht="15" hidden="false" customHeight="false" outlineLevel="0" collapsed="false">
      <c r="A18" s="10" t="s">
        <v>174</v>
      </c>
      <c r="B18" s="10" t="s">
        <v>175</v>
      </c>
      <c r="C18" s="2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2026-10-16T12:20:30Z</dcterms:created>
  <dc:creator>openpyxl</dc:creator>
  <dc:description/>
  <dc:language>en-US</dc:language>
  <cp:lastModifiedBy/>
  <dcterms:modified xsi:type="dcterms:W3CDTF">2026-10-16T12:20:30Z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