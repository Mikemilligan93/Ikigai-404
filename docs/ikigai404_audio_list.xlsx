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o list" sheetId="1" state="visible" r:id="rId3"/>
    <sheet name="Questions" sheetId="2" state="visible" r:id="rId4"/>
  </sheets>
  <definedNames>
    <definedName function="false" hidden="true" localSheetId="0" name="_xlnm._FilterDatabase" vbProcedure="false">'Audio list'!$A$4:$I$26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<sst xmlns="http://schemas.openxmlformats.org/spreadsheetml/2006/main" count="171" uniqueCount="106">
  <si>
    <t xml:space="preserve">Ikigai 404 — music &amp; sound effects</t>
  </si>
  <si>
    <t xml:space="preserve">Save files into assets/audio/ with exactly these names, as .mp3. Yellow columns are for the team to fill in.</t>
  </si>
  <si>
    <t xml:space="preserve">Type</t>
  </si>
  <si>
    <t xml:space="preserve">File name</t>
  </si>
  <si>
    <t xml:space="preserve">What it is</t>
  </si>
  <si>
    <t xml:space="preserve">When it plays</t>
  </si>
  <si>
    <t xml:space="preserve">Priority</t>
  </si>
  <si>
    <t xml:space="preserve">Status</t>
  </si>
  <si>
    <t xml:space="preserve">Owner</t>
  </si>
  <si>
    <t xml:space="preserve">Team notes</t>
  </si>
  <si>
    <t xml:space="preserve">Fallback / dev note</t>
  </si>
  <si>
    <t xml:space="preserve">Music</t>
  </si>
  <si>
    <t xml:space="preserve">music_ambient.mp3</t>
  </si>
  <si>
    <t xml:space="preserve">Calm ambient line, 1–3 min, loops without a gap</t>
  </si>
  <si>
    <t xml:space="preserve">Title, intro, office while exploring, lift, end screen</t>
  </si>
  <si>
    <t xml:space="preserve">Must</t>
  </si>
  <si>
    <t xml:space="preserve">To do</t>
  </si>
  <si>
    <t xml:space="preserve">music_fight.mp3</t>
  </si>
  <si>
    <t xml:space="preserve">Aggressive line, 1–3 min, loops without a gap</t>
  </si>
  <si>
    <t xml:space="preserve">From opening the email until the CEO is down</t>
  </si>
  <si>
    <t xml:space="preserve">music_boss.mp3</t>
  </si>
  <si>
    <t xml:space="preserve">Even more intense track</t>
  </si>
  <si>
    <t xml:space="preserve">CEO fight only</t>
  </si>
  <si>
    <t xml:space="preserve">Nice</t>
  </si>
  <si>
    <t xml:space="preserve">If missing: music_fight</t>
  </si>
  <si>
    <t xml:space="preserve">music_intro.mp3</t>
  </si>
  <si>
    <t xml:space="preserve">Morning / commute mood</t>
  </si>
  <si>
    <t xml:space="preserve">Intro</t>
  </si>
  <si>
    <t xml:space="preserve">If missing: music_ambient</t>
  </si>
  <si>
    <t xml:space="preserve">music_lift.mp3</t>
  </si>
  <si>
    <t xml:space="preserve">Elevator muzak (a gag)</t>
  </si>
  <si>
    <t xml:space="preserve">Lift dialogue</t>
  </si>
  <si>
    <t xml:space="preserve">SFX</t>
  </si>
  <si>
    <t xml:space="preserve">sfx_step.mp3</t>
  </si>
  <si>
    <t xml:space="preserve">One footstep on carpet, ~0.2 s</t>
  </si>
  <si>
    <t xml:space="preserve">Repeats about every 0.3 s while walking (intro + office)</t>
  </si>
  <si>
    <t xml:space="preserve">Needs code: footsteps</t>
  </si>
  <si>
    <t xml:space="preserve">sfx_melee.mp3</t>
  </si>
  <si>
    <t xml:space="preserve">Briefcase swing (whoosh)</t>
  </si>
  <si>
    <t xml:space="preserve">Every strike, hit or miss</t>
  </si>
  <si>
    <t xml:space="preserve">sfx_hit.mp3</t>
  </si>
  <si>
    <t xml:space="preserve">Thud / paper smack</t>
  </si>
  <si>
    <t xml:space="preserve">A strike or paper ball hits an enemy</t>
  </si>
  <si>
    <t xml:space="preserve">sfx_throw.mp3</t>
  </si>
  <si>
    <t xml:space="preserve">Light paper whoosh</t>
  </si>
  <si>
    <t xml:space="preserve">Paper ball thrown</t>
  </si>
  <si>
    <t xml:space="preserve">sfx_hurt.mp3</t>
  </si>
  <si>
    <t xml:space="preserve">Bunny groan or sigh</t>
  </si>
  <si>
    <t xml:space="preserve">The bunny loses mental health</t>
  </si>
  <si>
    <t xml:space="preserve">sfx_enemy_mumble.mp3</t>
  </si>
  <si>
    <t xml:space="preserve">Office gibberish ("blah-blah… per my last email…"), 1–2 s</t>
  </si>
  <si>
    <t xml:space="preserve">Randomly from enemies near the bunny, at most every few seconds</t>
  </si>
  <si>
    <t xml:space="preserve">Needs code: mumbling</t>
  </si>
  <si>
    <t xml:space="preserve">sfx_email.mp3</t>
  </si>
  <si>
    <t xml:space="preserve">"You've got mail" ding</t>
  </si>
  <si>
    <t xml:space="preserve">Email opened (starts the fight)</t>
  </si>
  <si>
    <t xml:space="preserve">Strongly recommended</t>
  </si>
  <si>
    <t xml:space="preserve">sfx_enemy_die.mp3</t>
  </si>
  <si>
    <t xml:space="preserve">Paper crumple / poof</t>
  </si>
  <si>
    <t xml:space="preserve">An enemy is defeated</t>
  </si>
  <si>
    <t xml:space="preserve">sfx_pickup.mp3</t>
  </si>
  <si>
    <t xml:space="preserve">Coffee sip / soft chime</t>
  </si>
  <si>
    <t xml:space="preserve">Coffee machine used, mochi picked up</t>
  </si>
  <si>
    <t xml:space="preserve">sfx_miniboss_down.mp3</t>
  </si>
  <si>
    <t xml:space="preserve">Machine sputtering and dying</t>
  </si>
  <si>
    <t xml:space="preserve">A miniboss is defeated</t>
  </si>
  <si>
    <t xml:space="preserve">sfx_boss_roar.mp3</t>
  </si>
  <si>
    <t xml:space="preserve">Dragon roar</t>
  </si>
  <si>
    <t xml:space="preserve">CEO appears; fire ring attack</t>
  </si>
  <si>
    <t xml:space="preserve">sfx_buff.mp3</t>
  </si>
  <si>
    <t xml:space="preserve">Positive chime</t>
  </si>
  <si>
    <t xml:space="preserve">A good colleague aura takes effect</t>
  </si>
  <si>
    <t xml:space="preserve">sfx_debuff.mp3</t>
  </si>
  <si>
    <t xml:space="preserve">Negative chime</t>
  </si>
  <si>
    <t xml:space="preserve">A bad colleague aura takes effect</t>
  </si>
  <si>
    <t xml:space="preserve">sfx_dialogue.mp3</t>
  </si>
  <si>
    <t xml:space="preserve">Soft blip</t>
  </si>
  <si>
    <t xml:space="preserve">Each dialogue line (inspector, lift)</t>
  </si>
  <si>
    <t xml:space="preserve">sfx_lift_ding.mp3</t>
  </si>
  <si>
    <t xml:space="preserve">Elevator ding</t>
  </si>
  <si>
    <t xml:space="preserve">The lift opens after the boss</t>
  </si>
  <si>
    <t xml:space="preserve">sfx_burnout.mp3</t>
  </si>
  <si>
    <t xml:space="preserve">Sad sting, 2–4 s</t>
  </si>
  <si>
    <t xml:space="preserve">The bunny burns out</t>
  </si>
  <si>
    <t xml:space="preserve">sfx_win.mp3</t>
  </si>
  <si>
    <t xml:space="preserve">Victory sting, 2–4 s</t>
  </si>
  <si>
    <t xml:space="preserve">The day is survived</t>
  </si>
  <si>
    <t xml:space="preserve">Summary</t>
  </si>
  <si>
    <t xml:space="preserve">Must-have files</t>
  </si>
  <si>
    <t xml:space="preserve">Must-have saved</t>
  </si>
  <si>
    <t xml:space="preserve">All files</t>
  </si>
  <si>
    <t xml:space="preserve">All saved</t>
  </si>
  <si>
    <t xml:space="preserve">Technical wishes</t>
  </si>
  <si>
    <t xml:space="preserve">•</t>
  </si>
  <si>
    <t xml:space="preserve">Music loops: no click and no silence at the loop point.</t>
  </si>
  <si>
    <t xml:space="preserve">Sound effects: trimmed, no silence at the start.</t>
  </si>
  <si>
    <t xml:space="preserve">All files at a similar loudness (volume sliders for music and effects will be in config.json).</t>
  </si>
  <si>
    <t xml:space="preserve">Format: .mp3</t>
  </si>
  <si>
    <t xml:space="preserve">Open questions — please answer in column C</t>
  </si>
  <si>
    <t xml:space="preserve">#</t>
  </si>
  <si>
    <t xml:space="preserve">Question</t>
  </si>
  <si>
    <t xml:space="preserve">Answer</t>
  </si>
  <si>
    <t xml:space="preserve">Variations: support several versions of footsteps and mumbles (sfx_step_1.mp3 … sfx_step_3.mp3, sfx_enemy_mumble_1.mp3 … _4)? The game would use whichever exist.</t>
  </si>
  <si>
    <t xml:space="preserve">Different mumbles per enemy (weak email vs. strong urgent request), or one shared file?</t>
  </si>
  <si>
    <t xml:space="preserve">Music switch when the fight starts/ends: cross-fade over 1–2 seconds, or switch instantly?</t>
  </si>
  <si>
    <t xml:space="preserve">Minibosses: own idle sounds (printer whirr, coffee gurgle, fax beeping)? 3 extra files, not minimum.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</si>
</sst>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1F3B"/>
        <bgColor rgb="FF003366"/>
      </patternFill>
    </fill>
    <fill>
      <patternFill patternType="solid">
        <fgColor rgb="FFFFF2CC"/>
        <bgColor rgb="FFFBE3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2B0"/>
      </left>
      <right style="thin">
        <color rgb="FFC9C2B0"/>
      </right>
      <top style="thin">
        <color rgb="FFC9C2B0"/>
      </top>
      <bottom style="thin">
        <color rgb="FFC9C2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1F3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5EFD9"/>
        </patternFill>
      </fill>
    </dxf>
    <dxf>
      <fill>
        <patternFill>
          <bgColor rgb="FFFBE3C1"/>
        </patternFill>
      </fill>
    </dxf>
    <dxf>
      <font>
        <name val="Arial"/>
        <charset val="1"/>
        <family val="0"/>
        <b val="1"/>
        <color rgb="FFC039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2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FD9"/>
      <rgbColor rgb="FFFFFF99"/>
      <rgbColor rgb="FF99CCFF"/>
      <rgbColor rgb="FFFF99CC"/>
      <rgbColor rgb="FFCC99FF"/>
      <rgbColor rgb="FFFBE3C1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B1F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42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28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6.85" hidden="false" customHeight="false" outlineLevel="0" collapsed="false">
      <c r="A5" s="4" t="s">
        <v>11</v>
      </c>
      <c r="B5" s="5" t="s">
        <v>12</v>
      </c>
      <c r="C5" s="4" t="s">
        <v>13</v>
      </c>
      <c r="D5" s="4" t="s">
        <v>14</v>
      </c>
      <c r="E5" s="4" t="s">
        <v>15</v>
      </c>
      <c r="F5" s="6" t="s">
        <v>16</v>
      </c>
      <c r="G5" s="6"/>
      <c r="H5" s="6"/>
      <c r="I5" s="4"/>
    </row>
    <row r="6" customFormat="false" ht="26.85" hidden="false" customHeight="false" outlineLevel="0" collapsed="false">
      <c r="A6" s="4" t="s">
        <v>11</v>
      </c>
      <c r="B6" s="5" t="s">
        <v>17</v>
      </c>
      <c r="C6" s="4" t="s">
        <v>18</v>
      </c>
      <c r="D6" s="4" t="s">
        <v>19</v>
      </c>
      <c r="E6" s="4" t="s">
        <v>15</v>
      </c>
      <c r="F6" s="6" t="s">
        <v>16</v>
      </c>
      <c r="G6" s="6"/>
      <c r="H6" s="6"/>
      <c r="I6" s="4"/>
    </row>
    <row r="7" customFormat="false" ht="15" hidden="false" customHeight="false" outlineLevel="0" collapsed="false">
      <c r="A7" s="4" t="s">
        <v>11</v>
      </c>
      <c r="B7" s="5" t="s">
        <v>20</v>
      </c>
      <c r="C7" s="4" t="s">
        <v>21</v>
      </c>
      <c r="D7" s="4" t="s">
        <v>22</v>
      </c>
      <c r="E7" s="4" t="s">
        <v>23</v>
      </c>
      <c r="F7" s="6" t="s">
        <v>16</v>
      </c>
      <c r="G7" s="6"/>
      <c r="H7" s="6"/>
      <c r="I7" s="4" t="s">
        <v>24</v>
      </c>
    </row>
    <row r="8" customFormat="false" ht="15" hidden="false" customHeight="false" outlineLevel="0" collapsed="false">
      <c r="A8" s="4" t="s">
        <v>11</v>
      </c>
      <c r="B8" s="5" t="s">
        <v>25</v>
      </c>
      <c r="C8" s="4" t="s">
        <v>26</v>
      </c>
      <c r="D8" s="4" t="s">
        <v>27</v>
      </c>
      <c r="E8" s="4" t="s">
        <v>23</v>
      </c>
      <c r="F8" s="6" t="s">
        <v>16</v>
      </c>
      <c r="G8" s="6"/>
      <c r="H8" s="6"/>
      <c r="I8" s="4" t="s">
        <v>28</v>
      </c>
    </row>
    <row r="9" customFormat="false" ht="15" hidden="false" customHeight="false" outlineLevel="0" collapsed="false">
      <c r="A9" s="4" t="s">
        <v>11</v>
      </c>
      <c r="B9" s="5" t="s">
        <v>29</v>
      </c>
      <c r="C9" s="4" t="s">
        <v>30</v>
      </c>
      <c r="D9" s="4" t="s">
        <v>31</v>
      </c>
      <c r="E9" s="4" t="s">
        <v>23</v>
      </c>
      <c r="F9" s="6" t="s">
        <v>16</v>
      </c>
      <c r="G9" s="6"/>
      <c r="H9" s="6"/>
      <c r="I9" s="4" t="s">
        <v>28</v>
      </c>
    </row>
    <row r="10" customFormat="false" ht="26.85" hidden="false" customHeight="false" outlineLevel="0" collapsed="false">
      <c r="A10" s="4" t="s">
        <v>32</v>
      </c>
      <c r="B10" s="5" t="s">
        <v>33</v>
      </c>
      <c r="C10" s="4" t="s">
        <v>34</v>
      </c>
      <c r="D10" s="4" t="s">
        <v>35</v>
      </c>
      <c r="E10" s="4" t="s">
        <v>15</v>
      </c>
      <c r="F10" s="6" t="s">
        <v>16</v>
      </c>
      <c r="G10" s="6"/>
      <c r="H10" s="6"/>
      <c r="I10" s="4" t="s">
        <v>36</v>
      </c>
    </row>
    <row r="11" customFormat="false" ht="15" hidden="false" customHeight="false" outlineLevel="0" collapsed="false">
      <c r="A11" s="4" t="s">
        <v>32</v>
      </c>
      <c r="B11" s="5" t="s">
        <v>37</v>
      </c>
      <c r="C11" s="4" t="s">
        <v>38</v>
      </c>
      <c r="D11" s="4" t="s">
        <v>39</v>
      </c>
      <c r="E11" s="4" t="s">
        <v>15</v>
      </c>
      <c r="F11" s="6" t="s">
        <v>16</v>
      </c>
      <c r="G11" s="6"/>
      <c r="H11" s="6"/>
      <c r="I11" s="4"/>
    </row>
    <row r="12" customFormat="false" ht="15" hidden="false" customHeight="false" outlineLevel="0" collapsed="false">
      <c r="A12" s="4" t="s">
        <v>32</v>
      </c>
      <c r="B12" s="5" t="s">
        <v>40</v>
      </c>
      <c r="C12" s="4" t="s">
        <v>41</v>
      </c>
      <c r="D12" s="4" t="s">
        <v>42</v>
      </c>
      <c r="E12" s="4" t="s">
        <v>15</v>
      </c>
      <c r="F12" s="6" t="s">
        <v>16</v>
      </c>
      <c r="G12" s="6"/>
      <c r="H12" s="6"/>
      <c r="I12" s="4"/>
    </row>
    <row r="13" customFormat="false" ht="15" hidden="false" customHeight="false" outlineLevel="0" collapsed="false">
      <c r="A13" s="4" t="s">
        <v>32</v>
      </c>
      <c r="B13" s="5" t="s">
        <v>43</v>
      </c>
      <c r="C13" s="4" t="s">
        <v>44</v>
      </c>
      <c r="D13" s="4" t="s">
        <v>45</v>
      </c>
      <c r="E13" s="4" t="s">
        <v>15</v>
      </c>
      <c r="F13" s="6" t="s">
        <v>16</v>
      </c>
      <c r="G13" s="6"/>
      <c r="H13" s="6"/>
      <c r="I13" s="4"/>
    </row>
    <row r="14" customFormat="false" ht="15" hidden="false" customHeight="false" outlineLevel="0" collapsed="false">
      <c r="A14" s="4" t="s">
        <v>32</v>
      </c>
      <c r="B14" s="5" t="s">
        <v>46</v>
      </c>
      <c r="C14" s="4" t="s">
        <v>47</v>
      </c>
      <c r="D14" s="4" t="s">
        <v>48</v>
      </c>
      <c r="E14" s="4" t="s">
        <v>15</v>
      </c>
      <c r="F14" s="6" t="s">
        <v>16</v>
      </c>
      <c r="G14" s="6"/>
      <c r="H14" s="6"/>
      <c r="I14" s="4"/>
    </row>
    <row r="15" customFormat="false" ht="26.85" hidden="false" customHeight="false" outlineLevel="0" collapsed="false">
      <c r="A15" s="4" t="s">
        <v>32</v>
      </c>
      <c r="B15" s="5" t="s">
        <v>49</v>
      </c>
      <c r="C15" s="4" t="s">
        <v>50</v>
      </c>
      <c r="D15" s="4" t="s">
        <v>51</v>
      </c>
      <c r="E15" s="4" t="s">
        <v>15</v>
      </c>
      <c r="F15" s="6" t="s">
        <v>16</v>
      </c>
      <c r="G15" s="6"/>
      <c r="H15" s="6"/>
      <c r="I15" s="4" t="s">
        <v>52</v>
      </c>
    </row>
    <row r="16" customFormat="false" ht="15" hidden="false" customHeight="false" outlineLevel="0" collapsed="false">
      <c r="A16" s="4" t="s">
        <v>32</v>
      </c>
      <c r="B16" s="5" t="s">
        <v>53</v>
      </c>
      <c r="C16" s="4" t="s">
        <v>54</v>
      </c>
      <c r="D16" s="4" t="s">
        <v>55</v>
      </c>
      <c r="E16" s="4" t="s">
        <v>23</v>
      </c>
      <c r="F16" s="6" t="s">
        <v>16</v>
      </c>
      <c r="G16" s="6"/>
      <c r="H16" s="6"/>
      <c r="I16" s="4" t="s">
        <v>56</v>
      </c>
    </row>
    <row r="17" customFormat="false" ht="15" hidden="false" customHeight="false" outlineLevel="0" collapsed="false">
      <c r="A17" s="4" t="s">
        <v>32</v>
      </c>
      <c r="B17" s="5" t="s">
        <v>57</v>
      </c>
      <c r="C17" s="4" t="s">
        <v>58</v>
      </c>
      <c r="D17" s="4" t="s">
        <v>59</v>
      </c>
      <c r="E17" s="4" t="s">
        <v>23</v>
      </c>
      <c r="F17" s="6" t="s">
        <v>16</v>
      </c>
      <c r="G17" s="6"/>
      <c r="H17" s="6"/>
      <c r="I17" s="4"/>
    </row>
    <row r="18" customFormat="false" ht="15" hidden="false" customHeight="false" outlineLevel="0" collapsed="false">
      <c r="A18" s="4" t="s">
        <v>32</v>
      </c>
      <c r="B18" s="5" t="s">
        <v>60</v>
      </c>
      <c r="C18" s="4" t="s">
        <v>61</v>
      </c>
      <c r="D18" s="4" t="s">
        <v>62</v>
      </c>
      <c r="E18" s="4" t="s">
        <v>23</v>
      </c>
      <c r="F18" s="6" t="s">
        <v>16</v>
      </c>
      <c r="G18" s="6"/>
      <c r="H18" s="6"/>
      <c r="I18" s="4"/>
    </row>
    <row r="19" customFormat="false" ht="26.85" hidden="false" customHeight="false" outlineLevel="0" collapsed="false">
      <c r="A19" s="4" t="s">
        <v>32</v>
      </c>
      <c r="B19" s="5" t="s">
        <v>63</v>
      </c>
      <c r="C19" s="4" t="s">
        <v>64</v>
      </c>
      <c r="D19" s="4" t="s">
        <v>65</v>
      </c>
      <c r="E19" s="4" t="s">
        <v>23</v>
      </c>
      <c r="F19" s="6" t="s">
        <v>16</v>
      </c>
      <c r="G19" s="6"/>
      <c r="H19" s="6"/>
      <c r="I19" s="4"/>
    </row>
    <row r="20" customFormat="false" ht="15" hidden="false" customHeight="false" outlineLevel="0" collapsed="false">
      <c r="A20" s="4" t="s">
        <v>32</v>
      </c>
      <c r="B20" s="5" t="s">
        <v>66</v>
      </c>
      <c r="C20" s="4" t="s">
        <v>67</v>
      </c>
      <c r="D20" s="4" t="s">
        <v>68</v>
      </c>
      <c r="E20" s="4" t="s">
        <v>23</v>
      </c>
      <c r="F20" s="6" t="s">
        <v>16</v>
      </c>
      <c r="G20" s="6"/>
      <c r="H20" s="6"/>
      <c r="I20" s="4"/>
    </row>
    <row r="21" customFormat="false" ht="15" hidden="false" customHeight="false" outlineLevel="0" collapsed="false">
      <c r="A21" s="4" t="s">
        <v>32</v>
      </c>
      <c r="B21" s="5" t="s">
        <v>69</v>
      </c>
      <c r="C21" s="4" t="s">
        <v>70</v>
      </c>
      <c r="D21" s="4" t="s">
        <v>71</v>
      </c>
      <c r="E21" s="4" t="s">
        <v>23</v>
      </c>
      <c r="F21" s="6" t="s">
        <v>16</v>
      </c>
      <c r="G21" s="6"/>
      <c r="H21" s="6"/>
      <c r="I21" s="4"/>
    </row>
    <row r="22" customFormat="false" ht="15" hidden="false" customHeight="false" outlineLevel="0" collapsed="false">
      <c r="A22" s="4" t="s">
        <v>32</v>
      </c>
      <c r="B22" s="5" t="s">
        <v>72</v>
      </c>
      <c r="C22" s="4" t="s">
        <v>73</v>
      </c>
      <c r="D22" s="4" t="s">
        <v>74</v>
      </c>
      <c r="E22" s="4" t="s">
        <v>23</v>
      </c>
      <c r="F22" s="6" t="s">
        <v>16</v>
      </c>
      <c r="G22" s="6"/>
      <c r="H22" s="6"/>
      <c r="I22" s="4"/>
    </row>
    <row r="23" customFormat="false" ht="15" hidden="false" customHeight="false" outlineLevel="0" collapsed="false">
      <c r="A23" s="4" t="s">
        <v>32</v>
      </c>
      <c r="B23" s="5" t="s">
        <v>75</v>
      </c>
      <c r="C23" s="4" t="s">
        <v>76</v>
      </c>
      <c r="D23" s="4" t="s">
        <v>77</v>
      </c>
      <c r="E23" s="4" t="s">
        <v>23</v>
      </c>
      <c r="F23" s="6" t="s">
        <v>16</v>
      </c>
      <c r="G23" s="6"/>
      <c r="H23" s="6"/>
      <c r="I23" s="4"/>
    </row>
    <row r="24" customFormat="false" ht="15" hidden="false" customHeight="false" outlineLevel="0" collapsed="false">
      <c r="A24" s="4" t="s">
        <v>32</v>
      </c>
      <c r="B24" s="5" t="s">
        <v>78</v>
      </c>
      <c r="C24" s="4" t="s">
        <v>79</v>
      </c>
      <c r="D24" s="4" t="s">
        <v>80</v>
      </c>
      <c r="E24" s="4" t="s">
        <v>23</v>
      </c>
      <c r="F24" s="6" t="s">
        <v>16</v>
      </c>
      <c r="G24" s="6"/>
      <c r="H24" s="6"/>
      <c r="I24" s="4"/>
    </row>
    <row r="25" customFormat="false" ht="15" hidden="false" customHeight="false" outlineLevel="0" collapsed="false">
      <c r="A25" s="4" t="s">
        <v>32</v>
      </c>
      <c r="B25" s="5" t="s">
        <v>81</v>
      </c>
      <c r="C25" s="4" t="s">
        <v>82</v>
      </c>
      <c r="D25" s="4" t="s">
        <v>83</v>
      </c>
      <c r="E25" s="4" t="s">
        <v>23</v>
      </c>
      <c r="F25" s="6" t="s">
        <v>16</v>
      </c>
      <c r="G25" s="6"/>
      <c r="H25" s="6"/>
      <c r="I25" s="4"/>
    </row>
    <row r="26" customFormat="false" ht="15" hidden="false" customHeight="false" outlineLevel="0" collapsed="false">
      <c r="A26" s="4" t="s">
        <v>32</v>
      </c>
      <c r="B26" s="5" t="s">
        <v>84</v>
      </c>
      <c r="C26" s="4" t="s">
        <v>85</v>
      </c>
      <c r="D26" s="4" t="s">
        <v>86</v>
      </c>
      <c r="E26" s="4" t="s">
        <v>23</v>
      </c>
      <c r="F26" s="6" t="s">
        <v>16</v>
      </c>
      <c r="G26" s="6"/>
      <c r="H26" s="6"/>
      <c r="I26" s="4"/>
    </row>
    <row r="28" customFormat="false" ht="15" hidden="false" customHeight="false" outlineLevel="0" collapsed="false">
      <c r="A28" s="7" t="s">
        <v>87</v>
      </c>
    </row>
    <row r="29" customFormat="false" ht="15" hidden="false" customHeight="false" outlineLevel="0" collapsed="false">
      <c r="B29" s="8" t="s">
        <v>88</v>
      </c>
      <c r="C29" s="9" t="n">
        <f aca="false">COUNTIF(E5:E26,"Must")</f>
        <v>8</v>
      </c>
    </row>
    <row r="30" customFormat="false" ht="15" hidden="false" customHeight="false" outlineLevel="0" collapsed="false">
      <c r="B30" s="8" t="s">
        <v>89</v>
      </c>
      <c r="C30" s="9" t="n">
        <f aca="false">COUNTIFS(E5:E26,"Must",F5:F26,"Saved")</f>
        <v>0</v>
      </c>
    </row>
    <row r="31" customFormat="false" ht="15" hidden="false" customHeight="false" outlineLevel="0" collapsed="false">
      <c r="B31" s="8" t="s">
        <v>90</v>
      </c>
      <c r="C31" s="9" t="n">
        <f aca="false">COUNTA(B5:B26)</f>
        <v>22</v>
      </c>
    </row>
    <row r="32" customFormat="false" ht="15" hidden="false" customHeight="false" outlineLevel="0" collapsed="false">
      <c r="B32" s="8" t="s">
        <v>91</v>
      </c>
      <c r="C32" s="9" t="n">
        <f aca="false">COUNTIF(F5:F26,"Saved")</f>
        <v>0</v>
      </c>
    </row>
    <row r="34" customFormat="false" ht="15" hidden="false" customHeight="false" outlineLevel="0" collapsed="false">
      <c r="B34" s="7" t="s">
        <v>92</v>
      </c>
    </row>
    <row r="35" customFormat="false" ht="15" hidden="false" customHeight="false" outlineLevel="0" collapsed="false">
      <c r="B35" s="8" t="s">
        <v>93</v>
      </c>
      <c r="C35" s="8" t="s">
        <v>94</v>
      </c>
    </row>
    <row r="36" customFormat="false" ht="15" hidden="false" customHeight="false" outlineLevel="0" collapsed="false">
      <c r="B36" s="8" t="s">
        <v>93</v>
      </c>
      <c r="C36" s="8" t="s">
        <v>95</v>
      </c>
    </row>
    <row r="37" customFormat="false" ht="15" hidden="false" customHeight="false" outlineLevel="0" collapsed="false">
      <c r="B37" s="8" t="s">
        <v>93</v>
      </c>
      <c r="C37" s="8" t="s">
        <v>96</v>
      </c>
    </row>
    <row r="38" customFormat="false" ht="15" hidden="false" customHeight="false" outlineLevel="0" collapsed="false">
      <c r="B38" s="8" t="s">
        <v>93</v>
      </c>
      <c r="C38" s="8" t="s">
        <v>97</v>
      </c>
    </row>
  </sheetData>
  <autoFilter ref="A4:I26"/>
  <conditionalFormatting sqref="F5:F26">
    <cfRule type="expression" priority="2" aboveAverage="0" equalAverage="0" bottom="0" percent="0" rank="0" text="" dxfId="5">
      <formula>$F5="Saved"</formula>
    </cfRule>
    <cfRule type="expression" priority="3" aboveAverage="0" equalAverage="0" bottom="0" percent="0" rank="0" text="" dxfId="6">
      <formula>$F5="In progress"</formula>
    </cfRule>
  </conditionalFormatting>
  <conditionalFormatting sqref="E5:E26">
    <cfRule type="expression" priority="4" aboveAverage="0" equalAverage="0" bottom="0" percent="0" rank="0" text="" dxfId="7">
      <formula>$E5="Must"</formula>
    </cfRule>
  </conditionalFormatting>
  <dataValidations count="1">
    <dataValidation allowBlank="false" errorStyle="stop" operator="between" showDropDown="false" showErrorMessage="false" showInputMessage="false" sqref="F5:F26" type="list">
      <formula1>"To do,In progress,Saved"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0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1" t="s">
        <v>98</v>
      </c>
    </row>
    <row r="3" customFormat="false" ht="15" hidden="false" customHeight="false" outlineLevel="0" collapsed="false">
      <c r="A3" s="10" t="s">
        <v>99</v>
      </c>
      <c r="B3" s="10" t="s">
        <v>100</v>
      </c>
      <c r="C3" s="10" t="s">
        <v>101</v>
      </c>
    </row>
    <row r="4" customFormat="false" ht="48" hidden="false" customHeight="true" outlineLevel="0" collapsed="false">
      <c r="A4" s="4" t="n">
        <v>1</v>
      </c>
      <c r="B4" s="4" t="s">
        <v>102</v>
      </c>
      <c r="C4" s="6"/>
    </row>
    <row r="5" customFormat="false" ht="48" hidden="false" customHeight="true" outlineLevel="0" collapsed="false">
      <c r="A5" s="4" t="n">
        <v>2</v>
      </c>
      <c r="B5" s="4" t="s">
        <v>103</v>
      </c>
      <c r="C5" s="6"/>
    </row>
    <row r="6" customFormat="false" ht="48" hidden="false" customHeight="true" outlineLevel="0" collapsed="false">
      <c r="A6" s="4" t="n">
        <v>3</v>
      </c>
      <c r="B6" s="4" t="s">
        <v>104</v>
      </c>
      <c r="C6" s="6"/>
    </row>
    <row r="7" customFormat="false" ht="48" hidden="false" customHeight="true" outlineLevel="0" collapsed="false">
      <c r="A7" s="4" t="n">
        <v>4</v>
      </c>
      <c r="B7" s="4" t="s">
        <v>105</v>
      </c>
      <c r="C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2026-10-16T14:10:36Z</dcterms:created>
  <dc:creator>openpyxl</dc:creator>
  <dc:description/>
  <dc:language>en-US</dc:language>
  <cp:lastModifiedBy/>
  <dcterms:modified xsi:type="dcterms:W3CDTF">2026-10-16T14:10:36Z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